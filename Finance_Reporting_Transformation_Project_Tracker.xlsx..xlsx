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pivotTable+xml" PartName="/xl/pivotTables/pivotTable1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roject Charter" sheetId="1" r:id="rId5"/>
    <sheet state="visible" name="Milestones" sheetId="2" r:id="rId6"/>
    <sheet state="visible" name="Task Register" sheetId="3" r:id="rId7"/>
    <sheet state="visible" name="Task Pivot Analysis" sheetId="4" r:id="rId8"/>
    <sheet state="visible" name="Task Lookup" sheetId="5" r:id="rId9"/>
    <sheet state="visible" name="Risk and Issue Log" sheetId="6" r:id="rId10"/>
    <sheet state="visible" name="UAT Cases" sheetId="7" r:id="rId11"/>
    <sheet state="visible" name="Defect Register" sheetId="8" r:id="rId12"/>
    <sheet state="visible" name="Overview" sheetId="9" r:id="rId13"/>
    <sheet state="visible" name="Delivery Analysis" sheetId="10" r:id="rId14"/>
    <sheet state="visible" name="Delivery Dashboard" sheetId="11" r:id="rId15"/>
    <sheet state="visible" name="Priority Action List" sheetId="12" r:id="rId16"/>
  </sheets>
  <definedNames/>
  <calcPr/>
  <pivotCaches>
    <pivotCache cacheId="0" r:id="rId17"/>
  </pivotCaches>
</workbook>
</file>

<file path=xl/sharedStrings.xml><?xml version="1.0" encoding="utf-8"?>
<sst xmlns="http://schemas.openxmlformats.org/spreadsheetml/2006/main" count="438" uniqueCount="229">
  <si>
    <t>ID</t>
  </si>
  <si>
    <t>FINANCE REPORTING MIGRATION | PROJECT CHARTER</t>
  </si>
  <si>
    <t>Task ID</t>
  </si>
  <si>
    <t>Milestone</t>
  </si>
  <si>
    <t>Task</t>
  </si>
  <si>
    <t>Workstream</t>
  </si>
  <si>
    <t>Start</t>
  </si>
  <si>
    <t>Due</t>
  </si>
  <si>
    <t>Due Date</t>
  </si>
  <si>
    <t>Owner</t>
  </si>
  <si>
    <t>Status</t>
  </si>
  <si>
    <t>Priority</t>
  </si>
  <si>
    <t>Dependency</t>
  </si>
  <si>
    <t>Acceptance Evidence</t>
  </si>
  <si>
    <t>Data Type</t>
  </si>
  <si>
    <t>Days to Due</t>
  </si>
  <si>
    <t>Project type</t>
  </si>
  <si>
    <t>Total Tasks</t>
  </si>
  <si>
    <t>Delivery Alert</t>
  </si>
  <si>
    <t>Simulated retail finance reporting migration</t>
  </si>
  <si>
    <t>Completed Tasks</t>
  </si>
  <si>
    <t>Completion %</t>
  </si>
  <si>
    <t>Dependency Status</t>
  </si>
  <si>
    <t>Purpose</t>
  </si>
  <si>
    <t>Milestone Health</t>
  </si>
  <si>
    <t>T001</t>
  </si>
  <si>
    <t>Replace manually maintained reports with a controlled reporting workflow</t>
  </si>
  <si>
    <t>Reporting Date</t>
  </si>
  <si>
    <t>Confirm finance report inventory</t>
  </si>
  <si>
    <t>Duration</t>
  </si>
  <si>
    <t>Requirements &amp; Planning</t>
  </si>
  <si>
    <t>M01</t>
  </si>
  <si>
    <t>12 weeks | 12 Oct 2026 – 1 Jan 2027</t>
  </si>
  <si>
    <t>Your role</t>
  </si>
  <si>
    <t>Requirements signed off</t>
  </si>
  <si>
    <t>Project Data Analyst supporting Project Manager</t>
  </si>
  <si>
    <t>Workstreams</t>
  </si>
  <si>
    <t>Requirements; Data &amp; Reporting; UAT; Deployment</t>
  </si>
  <si>
    <t>Business Analyst</t>
  </si>
  <si>
    <t>Project Manager</t>
  </si>
  <si>
    <t>Not Started</t>
  </si>
  <si>
    <t>Business requirements approved</t>
  </si>
  <si>
    <t>Success criteria</t>
  </si>
  <si>
    <t>Approved requirements; reconciled reporting; UAT sign-off; documented handover</t>
  </si>
  <si>
    <t>Assumptions</t>
  </si>
  <si>
    <t>Entirely simulated; fictional team, dates, issues and outcomes</t>
  </si>
  <si>
    <t>Scope</t>
  </si>
  <si>
    <t>Reporting specifications, data validation, test coordination, milestone tracking</t>
  </si>
  <si>
    <t>Out of scope</t>
  </si>
  <si>
    <t>Live NEXT systems, actual finance data, automated production changes</t>
  </si>
  <si>
    <t>Tool focus</t>
  </si>
  <si>
    <t>Google Sheets, Asana, project controls, UAT</t>
  </si>
  <si>
    <t>NEXT role reference</t>
  </si>
  <si>
    <t>https://careers.next.co.uk/jobs/77573</t>
  </si>
  <si>
    <t>Next build step</t>
  </si>
  <si>
    <t>Import workbook into Google Sheets; add QUERY, XLOOKUP, pivots and conditional formatting</t>
  </si>
  <si>
    <t>Done</t>
  </si>
  <si>
    <t>High</t>
  </si>
  <si>
    <t>Simulated</t>
  </si>
  <si>
    <t>COUNTA of Task ID</t>
  </si>
  <si>
    <t>In Progress</t>
  </si>
  <si>
    <t>Grand Total</t>
  </si>
  <si>
    <t>T002</t>
  </si>
  <si>
    <t>Interview finance stakeholders</t>
  </si>
  <si>
    <t>T003</t>
  </si>
  <si>
    <t>Document KPI definitions</t>
  </si>
  <si>
    <t>Reporting Analyst</t>
  </si>
  <si>
    <t>T004</t>
  </si>
  <si>
    <t>Approve scope and acceptance criteria</t>
  </si>
  <si>
    <t>Critical</t>
  </si>
  <si>
    <t>T005</t>
  </si>
  <si>
    <t>Profile legacy report extracts</t>
  </si>
  <si>
    <t>Data &amp; Reporting</t>
  </si>
  <si>
    <t>M02</t>
  </si>
  <si>
    <t>Data Lead</t>
  </si>
  <si>
    <t>T006</t>
  </si>
  <si>
    <t>Prepare source-to-target mapping</t>
  </si>
  <si>
    <t>T007</t>
  </si>
  <si>
    <t>Define reconciliation controls</t>
  </si>
  <si>
    <t>M03</t>
  </si>
  <si>
    <t>T008</t>
  </si>
  <si>
    <t>Source-to-target mapping approved</t>
  </si>
  <si>
    <t>Build reporting prototype</t>
  </si>
  <si>
    <t>Mappings reviewed</t>
  </si>
  <si>
    <t>T009</t>
  </si>
  <si>
    <t>Reconcile balances and totals</t>
  </si>
  <si>
    <t>T010</t>
  </si>
  <si>
    <t>Write UAT scenarios</t>
  </si>
  <si>
    <t>User Acceptance Testing</t>
  </si>
  <si>
    <t>M04</t>
  </si>
  <si>
    <t>UAT Lead</t>
  </si>
  <si>
    <t>T011</t>
  </si>
  <si>
    <t>Prepare UAT test data</t>
  </si>
  <si>
    <t>T012</t>
  </si>
  <si>
    <t>Run UAT cycle 1</t>
  </si>
  <si>
    <t>Finance Tester</t>
  </si>
  <si>
    <t>T013</t>
  </si>
  <si>
    <t>Triage and assign defects</t>
  </si>
  <si>
    <t>T014</t>
  </si>
  <si>
    <t>Retest resolved defects</t>
  </si>
  <si>
    <t>Description</t>
  </si>
  <si>
    <t>T015</t>
  </si>
  <si>
    <t>Type</t>
  </si>
  <si>
    <t>Prepare go-live checklist</t>
  </si>
  <si>
    <t>Deployment &amp; Handover</t>
  </si>
  <si>
    <t>Severity</t>
  </si>
  <si>
    <t>M05</t>
  </si>
  <si>
    <t>Task Name</t>
  </si>
  <si>
    <t>Operations Lead</t>
  </si>
  <si>
    <t>Mitigation / Next Action</t>
  </si>
  <si>
    <t>First reconciled report</t>
  </si>
  <si>
    <t>R01</t>
  </si>
  <si>
    <t>Delayed requirements sign-off</t>
  </si>
  <si>
    <t>Risk</t>
  </si>
  <si>
    <t>Totals matched</t>
  </si>
  <si>
    <t>Agree decision deadline</t>
  </si>
  <si>
    <t>Open</t>
  </si>
  <si>
    <t>R02</t>
  </si>
  <si>
    <t>Inconsistent legacy finance definitions</t>
  </si>
  <si>
    <t>Define common KPI dictionary</t>
  </si>
  <si>
    <t>T016</t>
  </si>
  <si>
    <t>R03</t>
  </si>
  <si>
    <t>Obtain business sign-off</t>
  </si>
  <si>
    <t>Unreconciled opening balances</t>
  </si>
  <si>
    <t>Issue</t>
  </si>
  <si>
    <t>Investigate source and mapping</t>
  </si>
  <si>
    <t>R04</t>
  </si>
  <si>
    <t>Limited UAT tester availability</t>
  </si>
  <si>
    <t>Medium</t>
  </si>
  <si>
    <t>Book test windows early</t>
  </si>
  <si>
    <t>R05</t>
  </si>
  <si>
    <t>Unresolved critical defects at go-live</t>
  </si>
  <si>
    <t>Enforce sign-off criteria</t>
  </si>
  <si>
    <t>T017</t>
  </si>
  <si>
    <t>Document SOP and ownership</t>
  </si>
  <si>
    <t>M06</t>
  </si>
  <si>
    <t>T018</t>
  </si>
  <si>
    <t>Deliver training and handover</t>
  </si>
  <si>
    <t>UAT execution complete</t>
  </si>
  <si>
    <t>All priority tests resolved</t>
  </si>
  <si>
    <t>Go-live approval</t>
  </si>
  <si>
    <t>Go/no-go decision</t>
  </si>
  <si>
    <t>Handover completed</t>
  </si>
  <si>
    <t>SOPs and owners agreed</t>
  </si>
  <si>
    <t>Test ID</t>
  </si>
  <si>
    <t>Scenario</t>
  </si>
  <si>
    <t>Expected Result</t>
  </si>
  <si>
    <t>Tester</t>
  </si>
  <si>
    <t>Actual Result / Evidence</t>
  </si>
  <si>
    <t>U001</t>
  </si>
  <si>
    <t>Finance totals agree with approved source</t>
  </si>
  <si>
    <t>Approved source totals match report totals</t>
  </si>
  <si>
    <t>Pass</t>
  </si>
  <si>
    <t>U002</t>
  </si>
  <si>
    <t>Date filter includes correct period</t>
  </si>
  <si>
    <t>Only selected accounting period returned</t>
  </si>
  <si>
    <t>Fail</t>
  </si>
  <si>
    <t>Simulated: Date filter returned a transaction from the previous accounting period. Linked defect D002.</t>
  </si>
  <si>
    <t>U003</t>
  </si>
  <si>
    <t>User can export approved report</t>
  </si>
  <si>
    <t>Export matches visible report</t>
  </si>
  <si>
    <t>Not Run</t>
  </si>
  <si>
    <t>Low</t>
  </si>
  <si>
    <t>U004</t>
  </si>
  <si>
    <t>Negative values display correctly</t>
  </si>
  <si>
    <t>Credits and reversals retain sign</t>
  </si>
  <si>
    <t>U005</t>
  </si>
  <si>
    <t>Missing account code flagged</t>
  </si>
  <si>
    <t>Exception message displayed</t>
  </si>
  <si>
    <t>Defect ID</t>
  </si>
  <si>
    <t>Summary</t>
  </si>
  <si>
    <t>UAT Test</t>
  </si>
  <si>
    <t>Target Date</t>
  </si>
  <si>
    <t>Notes</t>
  </si>
  <si>
    <t>D001</t>
  </si>
  <si>
    <t>Missing account mapping produces blank value</t>
  </si>
  <si>
    <t>2026-11-30</t>
  </si>
  <si>
    <t>Simulated issue for testing</t>
  </si>
  <si>
    <t>D002</t>
  </si>
  <si>
    <t>Date filter includes prior-period transaction</t>
  </si>
  <si>
    <t>2026-12-02</t>
  </si>
  <si>
    <t>PROJECT DELIVERY CONTROL CENTRE</t>
  </si>
  <si>
    <t>KPI</t>
  </si>
  <si>
    <t>Value</t>
  </si>
  <si>
    <t>Total tasks</t>
  </si>
  <si>
    <t>Tasks complete</t>
  </si>
  <si>
    <t>Tasks blocked</t>
  </si>
  <si>
    <t>Tasks in progress</t>
  </si>
  <si>
    <t>Open risks/issues</t>
  </si>
  <si>
    <t>UAT cases not run</t>
  </si>
  <si>
    <t>Tasks</t>
  </si>
  <si>
    <t>Completed</t>
  </si>
  <si>
    <t>Important</t>
  </si>
  <si>
    <t>This is a simulated training portfolio, not real NEXT data</t>
  </si>
  <si>
    <t>Google Sheets</t>
  </si>
  <si>
    <t>After import, implement QUERY / XLOOKUP / pivot tables and test results</t>
  </si>
  <si>
    <t>Project Delivery Dashboard</t>
  </si>
  <si>
    <t>Overdue</t>
  </si>
  <si>
    <t>Due Soon</t>
  </si>
  <si>
    <t>Completion Rate</t>
  </si>
  <si>
    <t>Critical Tasks</t>
  </si>
  <si>
    <t>High Priority Tasks</t>
  </si>
  <si>
    <t>Open Risks &amp; Issues</t>
  </si>
  <si>
    <t>Open Critical Risks &amp; Issues</t>
  </si>
  <si>
    <t>Open Items</t>
  </si>
  <si>
    <t>Project Management Summary</t>
  </si>
  <si>
    <t>Project completion is currently 5.56%, with 1 of 18 tasks completed.</t>
  </si>
  <si>
    <t>Five risks and issues remain open, including two critical items.</t>
  </si>
  <si>
    <t>Priority attention is required for opening-balance reconciliation and critical defect resolution before go-live.</t>
  </si>
  <si>
    <t>Recommended next steps are to confirm owners, investigate outstanding issues and monitor milestone dependencies.</t>
  </si>
  <si>
    <t>UAT Testing Summary</t>
  </si>
  <si>
    <t>Defect Management</t>
  </si>
  <si>
    <t>Release Readiness</t>
  </si>
  <si>
    <t>Total Test Cases</t>
  </si>
  <si>
    <t>Total Defects</t>
  </si>
  <si>
    <t>Go-Live Decision</t>
  </si>
  <si>
    <t>Passed</t>
  </si>
  <si>
    <t>Open Defects</t>
  </si>
  <si>
    <t>Failed</t>
  </si>
  <si>
    <t>Open High-Priority Defects</t>
  </si>
  <si>
    <t>Pass Rate</t>
  </si>
  <si>
    <t>Release Blockers</t>
  </si>
  <si>
    <t>Dependency Summary</t>
  </si>
  <si>
    <t>UAT Tests Not Run</t>
  </si>
  <si>
    <t>Blocked Tasks</t>
  </si>
  <si>
    <t>Blocked Critical Tasks</t>
  </si>
  <si>
    <t>Failed UAT Tests</t>
  </si>
  <si>
    <t>Ready Tasks</t>
  </si>
  <si>
    <t>Tasks without Dependencies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</si>
</sst>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d mmm yyyy"/>
    <numFmt numFmtId="165" formatCode="dd/mm/yyyy"/>
  </numFmts>
  <fonts count="11">
    <font>
      <sz val="11.0"/>
      <color rgb="FF000000"/>
      <name val="Carlito"/>
      <scheme val="minor"/>
    </font>
    <font>
      <b/>
      <sz val="11.0"/>
      <color rgb="FFFFFFFF"/>
      <name val="Carlito"/>
    </font>
    <font>
      <color theme="1"/>
      <name val="Carlito"/>
      <scheme val="minor"/>
    </font>
    <font>
      <b/>
      <color rgb="FFFFFFFF"/>
      <name val="Carlito"/>
      <scheme val="minor"/>
    </font>
    <font>
      <sz val="11.0"/>
      <color theme="1"/>
      <name val="Carlito"/>
    </font>
    <font>
      <sz val="12.0"/>
      <color rgb="FF000000"/>
      <name val="Carlito"/>
      <scheme val="minor"/>
    </font>
    <font>
      <b/>
      <color theme="1"/>
      <name val="Carlito"/>
      <scheme val="minor"/>
    </font>
    <font>
      <b/>
      <sz val="18.0"/>
      <color rgb="FF000000"/>
      <name val="Carlito"/>
      <scheme val="minor"/>
    </font>
    <font>
      <color rgb="FF000000"/>
      <name val="Carlito"/>
      <scheme val="minor"/>
    </font>
    <font>
      <b/>
      <sz val="12.0"/>
      <color rgb="FFFFFFFF"/>
      <name val="Carlito"/>
      <scheme val="minor"/>
    </font>
    <font>
      <b/>
      <sz val="14.0"/>
      <color rgb="FF000000"/>
      <name val="Carlito"/>
      <scheme val="minor"/>
    </font>
  </fonts>
  <fills count="5">
    <fill>
      <patternFill patternType="none"/>
    </fill>
    <fill>
      <patternFill patternType="lightGray"/>
    </fill>
    <fill>
      <patternFill patternType="solid">
        <fgColor rgb="FF17324D"/>
        <bgColor rgb="FF17324D"/>
      </patternFill>
    </fill>
    <fill>
      <patternFill patternType="solid">
        <fgColor rgb="FFB7E1CD"/>
        <bgColor rgb="FFB7E1CD"/>
      </patternFill>
    </fill>
    <fill>
      <patternFill patternType="solid">
        <fgColor rgb="FF087F8C"/>
        <bgColor rgb="FF087F8C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8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shrinkToFit="0" wrapText="1"/>
    </xf>
    <xf borderId="0" fillId="2" fontId="1" numFmtId="0" xfId="0" applyFill="1" applyFont="1"/>
    <xf borderId="0" fillId="0" fontId="2" numFmtId="0" xfId="0" applyFont="1"/>
    <xf borderId="0" fillId="2" fontId="3" numFmtId="0" xfId="0" applyAlignment="1" applyFill="1" applyFont="1">
      <alignment readingOrder="0"/>
    </xf>
    <xf borderId="0" fillId="0" fontId="4" numFmtId="0" xfId="0" applyAlignment="1" applyFont="1">
      <alignment shrinkToFit="0" wrapText="1"/>
    </xf>
    <xf borderId="0" fillId="0" fontId="4" numFmtId="164" xfId="0" applyAlignment="1" applyFont="1" applyNumberFormat="1">
      <alignment shrinkToFit="0" wrapText="1"/>
    </xf>
    <xf borderId="0" fillId="0" fontId="2" numFmtId="10" xfId="0" applyFont="1" applyNumberFormat="1"/>
    <xf borderId="0" fillId="0" fontId="4" numFmtId="0" xfId="0" applyAlignment="1" applyFont="1">
      <alignment readingOrder="0" shrinkToFit="0" wrapText="1"/>
    </xf>
    <xf borderId="0" fillId="0" fontId="5" numFmtId="165" xfId="0" applyAlignment="1" applyFont="1" applyNumberFormat="1">
      <alignment readingOrder="0"/>
    </xf>
    <xf borderId="1" fillId="3" fontId="6" numFmtId="0" xfId="0" applyAlignment="1" applyBorder="1" applyFill="1" applyFont="1">
      <alignment readingOrder="0"/>
    </xf>
    <xf borderId="1" fillId="0" fontId="2" numFmtId="0" xfId="0" applyAlignment="1" applyBorder="1" applyFont="1">
      <alignment readingOrder="0"/>
    </xf>
    <xf borderId="1" fillId="0" fontId="2" numFmtId="0" xfId="0" applyBorder="1" applyFont="1"/>
    <xf borderId="0" fillId="4" fontId="1" numFmtId="0" xfId="0" applyFill="1" applyFont="1"/>
    <xf borderId="1" fillId="3" fontId="6" numFmtId="0" xfId="0" applyBorder="1" applyFill="1" applyFont="1"/>
    <xf borderId="0" fillId="0" fontId="4" numFmtId="9" xfId="0" applyFont="1" applyNumberFormat="1"/>
    <xf borderId="1" fillId="0" fontId="2" numFmtId="164" xfId="0" applyBorder="1" applyFont="1" applyNumberFormat="1"/>
    <xf borderId="0" fillId="0" fontId="7" numFmtId="0" xfId="0" applyAlignment="1" applyFont="1">
      <alignment readingOrder="0"/>
    </xf>
    <xf borderId="1" fillId="2" fontId="3" numFmtId="0" xfId="0" applyAlignment="1" applyBorder="1" applyFill="1" applyFont="1">
      <alignment readingOrder="0"/>
    </xf>
    <xf borderId="1" fillId="0" fontId="8" numFmtId="0" xfId="0" applyBorder="1" applyFont="1"/>
    <xf borderId="1" fillId="0" fontId="5" numFmtId="10" xfId="0" applyBorder="1" applyFont="1" applyNumberFormat="1"/>
    <xf borderId="1" fillId="2" fontId="9" numFmtId="0" xfId="0" applyAlignment="1" applyBorder="1" applyFill="1" applyFont="1">
      <alignment readingOrder="0"/>
    </xf>
    <xf borderId="0" fillId="0" fontId="10" numFmtId="0" xfId="0" applyAlignment="1" applyFont="1">
      <alignment readingOrder="0"/>
    </xf>
    <xf borderId="0" fillId="0" fontId="5" numFmtId="0" xfId="0" applyAlignment="1" applyFont="1">
      <alignment readingOrder="0"/>
    </xf>
    <xf borderId="1" fillId="4" fontId="3" numFmtId="0" xfId="0" applyAlignment="1" applyBorder="1" applyFill="1" applyFont="1">
      <alignment readingOrder="0"/>
    </xf>
    <xf borderId="1" fillId="0" fontId="2" numFmtId="10" xfId="0" applyBorder="1" applyFont="1" applyNumberFormat="1"/>
    <xf borderId="0" fillId="0" fontId="6" numFmtId="0" xfId="0" applyFont="1"/>
    <xf borderId="1" fillId="4" fontId="9" numFmtId="0" xfId="0" applyAlignment="1" applyBorder="1" applyFill="1" applyFont="1">
      <alignment readingOrder="0"/>
    </xf>
  </cellXfs>
  <cellStyles count="1">
    <cellStyle xfId="0" name="Normal" builtinId="0"/>
  </cellStyles>
  <dxfs count="8">
    <dxf>
      <font/>
      <fill>
        <patternFill patternType="solid">
          <fgColor rgb="FFB6D7A8"/>
          <bgColor rgb="FFB6D7A8"/>
        </patternFill>
      </fill>
      <border/>
    </dxf>
    <dxf>
      <font/>
      <fill>
        <patternFill patternType="solid">
          <fgColor rgb="FFFFD966"/>
          <bgColor rgb="FFFFD966"/>
        </patternFill>
      </fill>
      <border/>
    </dxf>
    <dxf>
      <font/>
      <fill>
        <patternFill patternType="solid">
          <fgColor rgb="FFDD7E6B"/>
          <bgColor rgb="FFDD7E6B"/>
        </patternFill>
      </fill>
      <border/>
    </dxf>
    <dxf>
      <font/>
      <fill>
        <patternFill patternType="solid">
          <fgColor rgb="FF93C47D"/>
          <bgColor rgb="FF93C47D"/>
        </patternFill>
      </fill>
      <border/>
    </dxf>
    <dxf>
      <font/>
      <fill>
        <patternFill patternType="solid">
          <fgColor rgb="FFE06666"/>
          <bgColor rgb="FFE06666"/>
        </patternFill>
      </fill>
      <border/>
    </dxf>
    <dxf>
      <font/>
      <fill>
        <patternFill patternType="solid">
          <fgColor rgb="FFFF0000"/>
          <bgColor rgb="FFFF0000"/>
        </patternFill>
      </fill>
      <border/>
    </dxf>
    <dxf>
      <font/>
      <fill>
        <patternFill patternType="solid">
          <fgColor rgb="FFFFFF00"/>
          <bgColor rgb="FFFFFF00"/>
        </patternFill>
      </fill>
      <border/>
    </dxf>
    <dxf>
      <font/>
      <fill>
        <patternFill patternType="solid">
          <fgColor rgb="FF00FF00"/>
          <bgColor rgb="FF00FF00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pivotCacheDefinition" Target="pivotCache/pivotCacheDefinition1.xml"/><Relationship Id="rId16" Type="http://schemas.openxmlformats.org/officeDocument/2006/relationships/worksheet" Target="worksheets/sheet12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Project Task Status</a:t>
            </a:r>
          </a:p>
        </c:rich>
      </c:tx>
      <c:overlay val="0"/>
    </c:title>
    <c:plotArea>
      <c:layout/>
      <c:doughnutChart>
        <c:varyColors val="1"/>
        <c:ser>
          <c:idx val="0"/>
          <c:order val="0"/>
          <c:dPt>
            <c:idx val="0"/>
            <c:spPr>
              <a:solidFill>
                <a:srgbClr val="156082"/>
              </a:solidFill>
            </c:spPr>
          </c:dPt>
          <c:dPt>
            <c:idx val="1"/>
            <c:spPr>
              <a:solidFill>
                <a:srgbClr val="E97132"/>
              </a:solidFill>
            </c:spPr>
          </c:dPt>
          <c:dPt>
            <c:idx val="2"/>
            <c:spPr>
              <a:solidFill>
                <a:srgbClr val="196B24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'Delivery Dashboard'!$A$4:$A$6</c:f>
            </c:strRef>
          </c:cat>
          <c:val>
            <c:numRef>
              <c:f>'Delivery Dashboard'!$B$4:$B$6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holeSize val="50"/>
      </c:doughnut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942975</xdr:colOff>
      <xdr:row>2</xdr:row>
      <xdr:rowOff>0</xdr:rowOff>
    </xdr:from>
    <xdr:ext cx="5191125" cy="3228975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L19" sheet="Task Register"/>
  </cacheSource>
  <cacheFields>
    <cacheField name="Task ID" numFmtId="0">
      <sharedItems>
        <s v="T001"/>
        <s v="T002"/>
        <s v="T003"/>
        <s v="T004"/>
        <s v="T005"/>
        <s v="T006"/>
        <s v="T007"/>
        <s v="T008"/>
        <s v="T009"/>
        <s v="T010"/>
        <s v="T011"/>
        <s v="T012"/>
        <s v="T013"/>
        <s v="T014"/>
        <s v="T015"/>
        <s v="T016"/>
        <s v="T017"/>
        <s v="T018"/>
      </sharedItems>
    </cacheField>
    <cacheField name="Task" numFmtId="0">
      <sharedItems>
        <s v="Confirm finance report inventory"/>
        <s v="Interview finance stakeholders"/>
        <s v="Document KPI definitions"/>
        <s v="Approve scope and acceptance criteria"/>
        <s v="Profile legacy report extracts"/>
        <s v="Prepare source-to-target mapping"/>
        <s v="Define reconciliation controls"/>
        <s v="Build reporting prototype"/>
        <s v="Reconcile balances and totals"/>
        <s v="Write UAT scenarios"/>
        <s v="Prepare UAT test data"/>
        <s v="Run UAT cycle 1"/>
        <s v="Triage and assign defects"/>
        <s v="Retest resolved defects"/>
        <s v="Prepare go-live checklist"/>
        <s v="Obtain business sign-off"/>
        <s v="Document SOP and ownership"/>
        <s v="Deliver training and handover"/>
      </sharedItems>
    </cacheField>
    <cacheField name="Workstream" numFmtId="0">
      <sharedItems>
        <s v="Requirements &amp; Planning"/>
        <s v="Data &amp; Reporting"/>
        <s v="User Acceptance Testing"/>
        <s v="Deployment &amp; Handover"/>
      </sharedItems>
    </cacheField>
    <cacheField name="Milestone" numFmtId="0">
      <sharedItems>
        <s v="M01"/>
        <s v="M02"/>
        <s v="M03"/>
        <s v="M04"/>
        <s v="M05"/>
        <s v="M06"/>
      </sharedItems>
    </cacheField>
    <cacheField name="Start" numFmtId="164">
      <sharedItems containsSemiMixedTypes="0" containsDate="1" containsString="0">
        <d v="2026-10-12T00:00:00Z"/>
        <d v="2026-10-14T00:00:00Z"/>
        <d v="2026-10-16T00:00:00Z"/>
        <d v="2026-10-21T00:00:00Z"/>
        <d v="2026-10-20T00:00:00Z"/>
        <d v="2026-10-24T00:00:00Z"/>
        <d v="2026-10-27T00:00:00Z"/>
        <d v="2026-11-03T00:00:00Z"/>
        <d v="2026-11-10T00:00:00Z"/>
        <d v="2026-11-16T00:00:00Z"/>
        <d v="2026-11-23T00:00:00Z"/>
        <d v="2026-11-29T00:00:00Z"/>
        <d v="2026-12-05T00:00:00Z"/>
        <d v="2026-12-12T00:00:00Z"/>
        <d v="2026-12-15T00:00:00Z"/>
        <d v="2026-12-25T00:00:00Z"/>
      </sharedItems>
    </cacheField>
    <cacheField name="Due" numFmtId="164">
      <sharedItems containsSemiMixedTypes="0" containsDate="1" containsString="0">
        <d v="2026-10-16T00:00:00Z"/>
        <d v="2026-10-20T00:00:00Z"/>
        <d v="2026-10-22T00:00:00Z"/>
        <d v="2026-10-23T00:00:00Z"/>
        <d v="2026-10-27T00:00:00Z"/>
        <d v="2026-11-01T00:00:00Z"/>
        <d v="2026-11-05T00:00:00Z"/>
        <d v="2026-11-14T00:00:00Z"/>
        <d v="2026-11-20T00:00:00Z"/>
        <d v="2026-11-21T00:00:00Z"/>
        <d v="2026-11-24T00:00:00Z"/>
        <d v="2026-12-02T00:00:00Z"/>
        <d v="2026-12-07T00:00:00Z"/>
        <d v="2026-12-11T00:00:00Z"/>
        <d v="2026-12-13T00:00:00Z"/>
        <d v="2026-12-18T00:00:00Z"/>
        <d v="2026-12-24T00:00:00Z"/>
        <d v="2027-01-01T00:00:00Z"/>
      </sharedItems>
    </cacheField>
    <cacheField name="Owner" numFmtId="0">
      <sharedItems>
        <s v="Business Analyst"/>
        <s v="Reporting Analyst"/>
        <s v="Project Manager"/>
        <s v="Data Lead"/>
        <s v="UAT Lead"/>
        <s v="Finance Tester"/>
        <s v="Operations Lead"/>
      </sharedItems>
    </cacheField>
    <cacheField name="Status" numFmtId="0">
      <sharedItems>
        <s v="Done"/>
        <s v="In Progress"/>
        <s v="Not Started"/>
      </sharedItems>
    </cacheField>
    <cacheField name="Priority" numFmtId="0">
      <sharedItems>
        <s v="High"/>
        <s v="Critical"/>
      </sharedItems>
    </cacheField>
    <cacheField name="Dependency" numFmtId="0">
      <sharedItems containsBlank="1">
        <m/>
        <s v="T002"/>
        <s v="T003"/>
        <s v="T001"/>
        <s v="T005"/>
        <s v="T006"/>
        <s v="T008"/>
        <s v="T004"/>
        <s v="T009"/>
        <s v="T010"/>
        <s v="T012"/>
        <s v="T013"/>
        <s v="T014"/>
        <s v="T016"/>
        <s v="T017"/>
      </sharedItems>
    </cacheField>
    <cacheField name="Data Type" numFmtId="0">
      <sharedItems>
        <s v="Simulated"/>
      </sharedItems>
    </cacheField>
    <cacheField name="Days to Due" numFmtId="0">
      <sharedItems containsSemiMixedTypes="0" containsString="0" containsNumber="1" containsInteger="1">
        <n v="7.0"/>
        <n v="11.0"/>
        <n v="13.0"/>
        <n v="14.0"/>
        <n v="18.0"/>
        <n v="23.0"/>
        <n v="27.0"/>
        <n v="36.0"/>
        <n v="42.0"/>
        <n v="43.0"/>
        <n v="46.0"/>
        <n v="54.0"/>
        <n v="59.0"/>
        <n v="63.0"/>
        <n v="65.0"/>
        <n v="70.0"/>
        <n v="76.0"/>
        <n v="84.0"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Task Pivot Analysis" cacheId="0" dataCaption="" compact="0" compactData="0">
  <location ref="A1:B5" firstHeaderRow="0" firstDataRow="1" firstDataCol="0"/>
  <pivotFields>
    <pivotField name="Task ID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t="default"/>
      </items>
    </pivotField>
    <pivotField name="Task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t="default"/>
      </items>
    </pivotField>
    <pivotField name="Workstream" compact="0" outline="0" multipleItemSelectionAllowed="1" showAll="0">
      <items>
        <item x="0"/>
        <item x="1"/>
        <item x="2"/>
        <item x="3"/>
        <item t="default"/>
      </items>
    </pivotField>
    <pivotField name="Milestone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Start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t="default"/>
      </items>
    </pivotField>
    <pivotField name="Due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t="default"/>
      </items>
    </pivotField>
    <pivotField name="Owner" compact="0" outline="0" multipleItemSelectionAllowed="1" showAll="0">
      <items>
        <item x="0"/>
        <item x="1"/>
        <item x="2"/>
        <item x="3"/>
        <item x="4"/>
        <item x="5"/>
        <item x="6"/>
        <item t="default"/>
      </items>
    </pivotField>
    <pivotField name="Status" axis="axisRow" compact="0" outline="0" multipleItemSelectionAllowed="1" showAll="0" sortType="ascending">
      <items>
        <item x="0"/>
        <item x="1"/>
        <item x="2"/>
        <item t="default"/>
      </items>
    </pivotField>
    <pivotField name="Priority" compact="0" outline="0" multipleItemSelectionAllowed="1" showAll="0">
      <items>
        <item x="0"/>
        <item x="1"/>
        <item t="default"/>
      </items>
    </pivotField>
    <pivotField name="Dependency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t="default"/>
      </items>
    </pivotField>
    <pivotField name="Data Type" compact="0" outline="0" multipleItemSelectionAllowed="1" showAll="0">
      <items>
        <item x="0"/>
        <item t="default"/>
      </items>
    </pivotField>
    <pivotField name="Days to Du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t="default"/>
      </items>
    </pivotField>
  </pivotFields>
  <rowFields>
    <field x="7"/>
  </rowFields>
  <dataFields>
    <dataField name="COUNTA of Task ID" fld="0" subtotal="count" baseField="0"/>
  </dataFields>
</pivotTableDefinition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Carlito"/>
        <a:ea typeface="Carlito"/>
        <a:cs typeface="Carlito"/>
      </a:majorFont>
      <a:minorFont>
        <a:latin typeface="Carlito"/>
        <a:ea typeface="Carlito"/>
        <a:cs typeface="Carlito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26.0"/>
    <col customWidth="1" min="2" max="2" width="86.0"/>
    <col customWidth="1" min="3" max="26" width="8.63"/>
  </cols>
  <sheetData>
    <row r="1" ht="30.0" customHeight="1">
      <c r="A1" s="2" t="s">
        <v>1</v>
      </c>
      <c r="B1" s="2"/>
    </row>
    <row r="2">
      <c r="A2" s="3" t="s">
        <v>16</v>
      </c>
      <c r="B2" s="5" t="s">
        <v>19</v>
      </c>
    </row>
    <row r="3">
      <c r="A3" s="3" t="s">
        <v>23</v>
      </c>
      <c r="B3" s="5" t="s">
        <v>26</v>
      </c>
    </row>
    <row r="4">
      <c r="A4" s="3" t="s">
        <v>29</v>
      </c>
      <c r="B4" s="5" t="s">
        <v>32</v>
      </c>
    </row>
    <row r="5">
      <c r="A5" s="3" t="s">
        <v>33</v>
      </c>
      <c r="B5" s="5" t="s">
        <v>35</v>
      </c>
    </row>
    <row r="6">
      <c r="A6" s="3" t="s">
        <v>36</v>
      </c>
      <c r="B6" s="5" t="s">
        <v>37</v>
      </c>
    </row>
    <row r="7">
      <c r="A7" s="3" t="s">
        <v>42</v>
      </c>
      <c r="B7" s="5" t="s">
        <v>43</v>
      </c>
    </row>
    <row r="8">
      <c r="A8" s="3" t="s">
        <v>44</v>
      </c>
      <c r="B8" s="5" t="s">
        <v>45</v>
      </c>
    </row>
    <row r="9">
      <c r="A9" s="3" t="s">
        <v>46</v>
      </c>
      <c r="B9" s="5" t="s">
        <v>47</v>
      </c>
    </row>
    <row r="10">
      <c r="A10" s="3" t="s">
        <v>48</v>
      </c>
      <c r="B10" s="5" t="s">
        <v>49</v>
      </c>
    </row>
    <row r="11">
      <c r="A11" s="3" t="s">
        <v>50</v>
      </c>
      <c r="B11" s="5" t="s">
        <v>51</v>
      </c>
    </row>
    <row r="12">
      <c r="A12" s="3" t="s">
        <v>52</v>
      </c>
      <c r="B12" s="5" t="s">
        <v>53</v>
      </c>
    </row>
    <row r="13">
      <c r="A13" s="3" t="s">
        <v>54</v>
      </c>
      <c r="B13" s="5" t="s">
        <v>55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14.0"/>
    <col customWidth="1" min="2" max="2" width="40.0"/>
    <col customWidth="1" min="3" max="7" width="20.0"/>
    <col customWidth="1" min="8" max="26" width="8.63"/>
  </cols>
  <sheetData>
    <row r="1" ht="30.0" customHeight="1">
      <c r="A1" s="1" t="s">
        <v>0</v>
      </c>
      <c r="B1" s="1" t="s">
        <v>3</v>
      </c>
      <c r="C1" s="1" t="s">
        <v>5</v>
      </c>
      <c r="D1" s="1" t="s">
        <v>8</v>
      </c>
      <c r="E1" s="1" t="s">
        <v>9</v>
      </c>
      <c r="F1" s="1" t="s">
        <v>10</v>
      </c>
      <c r="G1" s="1" t="s">
        <v>13</v>
      </c>
      <c r="H1" s="4" t="s">
        <v>17</v>
      </c>
      <c r="I1" s="4" t="s">
        <v>20</v>
      </c>
      <c r="J1" s="4" t="s">
        <v>21</v>
      </c>
      <c r="K1" s="4" t="s">
        <v>24</v>
      </c>
      <c r="L1" s="4" t="s">
        <v>27</v>
      </c>
    </row>
    <row r="2" ht="27.0" customHeight="1">
      <c r="A2" s="5" t="s">
        <v>31</v>
      </c>
      <c r="B2" s="5" t="s">
        <v>34</v>
      </c>
      <c r="C2" s="5" t="s">
        <v>30</v>
      </c>
      <c r="D2" s="6">
        <v>46318.0</v>
      </c>
      <c r="E2" s="5" t="s">
        <v>39</v>
      </c>
      <c r="F2" s="5" t="s">
        <v>40</v>
      </c>
      <c r="G2" s="5" t="s">
        <v>41</v>
      </c>
      <c r="H2" s="3">
        <f>COUNTIF('Task Register'!D$2:D1000,A2)</f>
        <v>4</v>
      </c>
      <c r="I2" s="3">
        <f>COUNTIFS('Task Register'!D$2:D1000,A2,'Task Register'!H$2:H1000,"Done")</f>
        <v>1</v>
      </c>
      <c r="J2" s="7">
        <f t="shared" ref="J2:J7" si="1">IFERROR(I2/H2,0)</f>
        <v>0.25</v>
      </c>
      <c r="K2" s="3" t="str">
        <f>IF(F2="Done","Completed",
 IF(COUNTIFS('Risk and Issue Log'!H$2:H1000,A2,'Risk and Issue Log'!G$2:G1000,"Open",'Risk and Issue Log'!D$2:D1000,"Critical")&gt;0,"Critical Risk",
 IF(AND(D2&lt;$L$2,J2&lt;1),"Overdue",
 IF(D2&lt;=$L$2+7,"Due Soon","On Track"))))</f>
        <v>On Track</v>
      </c>
      <c r="L2" s="9">
        <v>46304.0</v>
      </c>
    </row>
    <row r="3" ht="27.0" customHeight="1">
      <c r="A3" s="5" t="s">
        <v>73</v>
      </c>
      <c r="B3" s="5" t="s">
        <v>81</v>
      </c>
      <c r="C3" s="5" t="s">
        <v>72</v>
      </c>
      <c r="D3" s="6">
        <v>46332.0</v>
      </c>
      <c r="E3" s="5" t="s">
        <v>74</v>
      </c>
      <c r="F3" s="5" t="s">
        <v>40</v>
      </c>
      <c r="G3" s="5" t="s">
        <v>83</v>
      </c>
      <c r="H3" s="3">
        <f>COUNTIF('Task Register'!D$2:D1000,A3)</f>
        <v>2</v>
      </c>
      <c r="I3" s="3">
        <f>COUNTIFS('Task Register'!D$2:D1000,A3,'Task Register'!H$2:H1000,"Done")</f>
        <v>0</v>
      </c>
      <c r="J3" s="7">
        <f t="shared" si="1"/>
        <v>0</v>
      </c>
      <c r="K3" s="3" t="str">
        <f>IF(F3="Done","Completed",
 IF(COUNTIFS('Risk and Issue Log'!H$2:H1000,A3,'Risk and Issue Log'!G$2:G1000,"Open",'Risk and Issue Log'!D$2:D1000,"Critical")&gt;0,"Critical Risk",
 IF(AND(D3&lt;$L$2,J3&lt;1),"Overdue",
 IF(D3&lt;=$L$2+7,"Due Soon","On Track"))))</f>
        <v>On Track</v>
      </c>
    </row>
    <row r="4" ht="27.0" customHeight="1">
      <c r="A4" s="5" t="s">
        <v>79</v>
      </c>
      <c r="B4" s="5" t="s">
        <v>110</v>
      </c>
      <c r="C4" s="5" t="s">
        <v>72</v>
      </c>
      <c r="D4" s="6">
        <v>46346.0</v>
      </c>
      <c r="E4" s="5" t="s">
        <v>66</v>
      </c>
      <c r="F4" s="5" t="s">
        <v>40</v>
      </c>
      <c r="G4" s="5" t="s">
        <v>114</v>
      </c>
      <c r="H4" s="3">
        <f>COUNTIF('Task Register'!D$2:D1000,A4)</f>
        <v>3</v>
      </c>
      <c r="I4" s="3">
        <f>COUNTIFS('Task Register'!D$2:D1000,A4,'Task Register'!H$2:H1000,"Done")</f>
        <v>0</v>
      </c>
      <c r="J4" s="7">
        <f t="shared" si="1"/>
        <v>0</v>
      </c>
      <c r="K4" s="3" t="str">
        <f>IF(F4="Done","Completed",
 IF(COUNTIFS('Risk and Issue Log'!H$2:H1000,A4,'Risk and Issue Log'!G$2:G1000,"Open",'Risk and Issue Log'!D$2:D1000,"Critical")&gt;0,"Critical Risk",
 IF(AND(D4&lt;$L$2,J4&lt;1),"Overdue",
 IF(D4&lt;=$L$2+7,"Due Soon","On Track"))))</f>
        <v>Critical Risk</v>
      </c>
    </row>
    <row r="5" ht="27.0" customHeight="1">
      <c r="A5" s="5" t="s">
        <v>89</v>
      </c>
      <c r="B5" s="5" t="s">
        <v>138</v>
      </c>
      <c r="C5" s="5" t="s">
        <v>88</v>
      </c>
      <c r="D5" s="6">
        <v>46367.0</v>
      </c>
      <c r="E5" s="5" t="s">
        <v>90</v>
      </c>
      <c r="F5" s="5" t="s">
        <v>40</v>
      </c>
      <c r="G5" s="5" t="s">
        <v>139</v>
      </c>
      <c r="H5" s="3">
        <f>COUNTIF('Task Register'!D$2:D1000,A5)</f>
        <v>5</v>
      </c>
      <c r="I5" s="3">
        <f>COUNTIFS('Task Register'!D$2:D1000,A5,'Task Register'!H$2:H1000,"Done")</f>
        <v>0</v>
      </c>
      <c r="J5" s="7">
        <f t="shared" si="1"/>
        <v>0</v>
      </c>
      <c r="K5" s="3" t="str">
        <f>IF(F5="Done","Completed",
 IF(COUNTIFS('Risk and Issue Log'!H$2:H1000,A5,'Risk and Issue Log'!G$2:G1000,"Open",'Risk and Issue Log'!D$2:D1000,"Critical")&gt;0,"Critical Risk",
 IF(AND(D5&lt;$L$2,J5&lt;1),"Overdue",
 IF(D5&lt;=$L$2+7,"Due Soon","On Track"))))</f>
        <v>On Track</v>
      </c>
    </row>
    <row r="6" ht="27.0" customHeight="1">
      <c r="A6" s="5" t="s">
        <v>106</v>
      </c>
      <c r="B6" s="5" t="s">
        <v>140</v>
      </c>
      <c r="C6" s="5" t="s">
        <v>104</v>
      </c>
      <c r="D6" s="6">
        <v>46374.0</v>
      </c>
      <c r="E6" s="5" t="s">
        <v>39</v>
      </c>
      <c r="F6" s="5" t="s">
        <v>40</v>
      </c>
      <c r="G6" s="5" t="s">
        <v>141</v>
      </c>
      <c r="H6" s="3">
        <f>COUNTIF('Task Register'!D$2:D1000,A6)</f>
        <v>2</v>
      </c>
      <c r="I6" s="3">
        <f>COUNTIFS('Task Register'!D$2:D1000,A6,'Task Register'!H$2:H1000,"Done")</f>
        <v>0</v>
      </c>
      <c r="J6" s="7">
        <f t="shared" si="1"/>
        <v>0</v>
      </c>
      <c r="K6" s="3" t="str">
        <f>IF(F6="Done","Completed",
 IF(COUNTIFS('Risk and Issue Log'!H$2:H1000,A6,'Risk and Issue Log'!G$2:G1000,"Open",'Risk and Issue Log'!D$2:D1000,"Critical")&gt;0,"Critical Risk",
 IF(AND(D6&lt;$L$2,J6&lt;1),"Overdue",
 IF(D6&lt;=$L$2+7,"Due Soon","On Track"))))</f>
        <v>Critical Risk</v>
      </c>
    </row>
    <row r="7" ht="27.0" customHeight="1">
      <c r="A7" s="5" t="s">
        <v>135</v>
      </c>
      <c r="B7" s="5" t="s">
        <v>142</v>
      </c>
      <c r="C7" s="5" t="s">
        <v>104</v>
      </c>
      <c r="D7" s="6">
        <v>46388.0</v>
      </c>
      <c r="E7" s="5" t="s">
        <v>108</v>
      </c>
      <c r="F7" s="5" t="s">
        <v>40</v>
      </c>
      <c r="G7" s="5" t="s">
        <v>143</v>
      </c>
      <c r="H7" s="3">
        <f>COUNTIF('Task Register'!D$2:D1000,A7)</f>
        <v>2</v>
      </c>
      <c r="I7" s="3">
        <f>COUNTIFS('Task Register'!D$2:D1000,A7,'Task Register'!H$2:H1000,"Done")</f>
        <v>0</v>
      </c>
      <c r="J7" s="7">
        <f t="shared" si="1"/>
        <v>0</v>
      </c>
      <c r="K7" s="3" t="str">
        <f>IF(F7="Done","Completed",
 IF(COUNTIFS('Risk and Issue Log'!H$2:H1000,A7,'Risk and Issue Log'!G$2:G1000,"Open",'Risk and Issue Log'!D$2:D1000,"Critical")&gt;0,"Critical Risk",
 IF(AND(D7&lt;$L$2,J7&lt;1),"Overdue",
 IF(D7&lt;=$L$2+7,"Due Soon","On Track"))))</f>
        <v>On Track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conditionalFormatting sqref="K2:K7">
    <cfRule type="cellIs" dxfId="3" priority="1" operator="equal">
      <formula>"On Track"</formula>
    </cfRule>
  </conditionalFormatting>
  <conditionalFormatting sqref="K2:K7">
    <cfRule type="cellIs" dxfId="4" priority="2" operator="equal">
      <formula>"Critical Risk"</formula>
    </cfRule>
  </conditionalFormatting>
  <conditionalFormatting sqref="K2:K7">
    <cfRule type="cellIs" dxfId="5" priority="3" operator="equal">
      <formula>"Overdue"</formula>
    </cfRule>
  </conditionalFormatting>
  <conditionalFormatting sqref="K2:K7">
    <cfRule type="cellIs" dxfId="6" priority="4" operator="equal">
      <formula>"Due Soon"</formula>
    </cfRule>
  </conditionalFormatting>
  <conditionalFormatting sqref="K2:K7">
    <cfRule type="cellIs" dxfId="7" priority="5" operator="equal">
      <formula>"Completed"</formula>
    </cfRule>
  </conditionalFormatting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14.0"/>
    <col customWidth="1" min="2" max="2" width="40.0"/>
    <col customWidth="1" min="3" max="12" width="20.0"/>
    <col customWidth="1" min="13" max="13" width="11.13"/>
    <col customWidth="1" min="14" max="26" width="8.63"/>
  </cols>
  <sheetData>
    <row r="1" ht="30.0" customHeight="1">
      <c r="A1" s="1" t="s">
        <v>2</v>
      </c>
      <c r="B1" s="1" t="s">
        <v>4</v>
      </c>
      <c r="C1" s="1" t="s">
        <v>5</v>
      </c>
      <c r="D1" s="1" t="s">
        <v>3</v>
      </c>
      <c r="E1" s="1" t="s">
        <v>6</v>
      </c>
      <c r="F1" s="1" t="s">
        <v>7</v>
      </c>
      <c r="G1" s="1" t="s">
        <v>9</v>
      </c>
      <c r="H1" s="1" t="s">
        <v>10</v>
      </c>
      <c r="I1" s="1" t="s">
        <v>11</v>
      </c>
      <c r="J1" s="1" t="s">
        <v>12</v>
      </c>
      <c r="K1" s="1" t="s">
        <v>14</v>
      </c>
      <c r="L1" s="1" t="s">
        <v>15</v>
      </c>
      <c r="M1" s="4" t="s">
        <v>18</v>
      </c>
      <c r="N1" s="4" t="s">
        <v>22</v>
      </c>
    </row>
    <row r="2" ht="27.0" customHeight="1">
      <c r="A2" s="5" t="s">
        <v>25</v>
      </c>
      <c r="B2" s="5" t="s">
        <v>28</v>
      </c>
      <c r="C2" s="5" t="s">
        <v>30</v>
      </c>
      <c r="D2" s="5" t="s">
        <v>31</v>
      </c>
      <c r="E2" s="6">
        <v>46307.0</v>
      </c>
      <c r="F2" s="6">
        <v>46311.0</v>
      </c>
      <c r="G2" s="5" t="s">
        <v>38</v>
      </c>
      <c r="H2" s="5" t="s">
        <v>56</v>
      </c>
      <c r="I2" s="5" t="s">
        <v>57</v>
      </c>
      <c r="J2" s="5"/>
      <c r="K2" s="5" t="s">
        <v>58</v>
      </c>
      <c r="L2" s="5">
        <f t="shared" ref="L2:L19" si="1">F2-TODAY()</f>
        <v>7</v>
      </c>
      <c r="M2" s="3" t="str">
        <f t="shared" ref="M2:M19" si="2">IF(H2="Done","Completed",IF(F2&lt;TODAY(),"Overdue",IF(F2&lt;=TODAY()+7,"Due Soon","On Track")))</f>
        <v>Completed</v>
      </c>
      <c r="N2" s="3" t="str">
        <f t="shared" ref="N2:N19" si="3">IF(J2="","No Dependency",IFERROR(IF(_xlfn.XLOOKUP(J2,$A$2:$A1000,$H$2:$H1000)="Done","Ready","Blocked"),"Invalid Dependency"))</f>
        <v>No Dependency</v>
      </c>
    </row>
    <row r="3" ht="27.0" customHeight="1">
      <c r="A3" s="5" t="s">
        <v>62</v>
      </c>
      <c r="B3" s="5" t="s">
        <v>63</v>
      </c>
      <c r="C3" s="5" t="s">
        <v>30</v>
      </c>
      <c r="D3" s="5" t="s">
        <v>31</v>
      </c>
      <c r="E3" s="6">
        <v>46309.0</v>
      </c>
      <c r="F3" s="6">
        <v>46315.0</v>
      </c>
      <c r="G3" s="5" t="s">
        <v>38</v>
      </c>
      <c r="H3" s="5" t="s">
        <v>60</v>
      </c>
      <c r="I3" s="5" t="s">
        <v>57</v>
      </c>
      <c r="J3" s="5"/>
      <c r="K3" s="5" t="s">
        <v>58</v>
      </c>
      <c r="L3" s="5">
        <f t="shared" si="1"/>
        <v>11</v>
      </c>
      <c r="M3" s="3" t="str">
        <f t="shared" si="2"/>
        <v>On Track</v>
      </c>
      <c r="N3" s="3" t="str">
        <f t="shared" si="3"/>
        <v>No Dependency</v>
      </c>
    </row>
    <row r="4" ht="27.0" customHeight="1">
      <c r="A4" s="5" t="s">
        <v>64</v>
      </c>
      <c r="B4" s="5" t="s">
        <v>65</v>
      </c>
      <c r="C4" s="5" t="s">
        <v>30</v>
      </c>
      <c r="D4" s="5" t="s">
        <v>31</v>
      </c>
      <c r="E4" s="6">
        <v>46311.0</v>
      </c>
      <c r="F4" s="6">
        <v>46317.0</v>
      </c>
      <c r="G4" s="5" t="s">
        <v>66</v>
      </c>
      <c r="H4" s="5" t="s">
        <v>60</v>
      </c>
      <c r="I4" s="5" t="s">
        <v>57</v>
      </c>
      <c r="J4" s="5" t="s">
        <v>62</v>
      </c>
      <c r="K4" s="5" t="s">
        <v>58</v>
      </c>
      <c r="L4" s="5">
        <f t="shared" si="1"/>
        <v>13</v>
      </c>
      <c r="M4" s="3" t="str">
        <f t="shared" si="2"/>
        <v>On Track</v>
      </c>
      <c r="N4" s="3" t="str">
        <f t="shared" si="3"/>
        <v>Blocked</v>
      </c>
    </row>
    <row r="5" ht="27.0" customHeight="1">
      <c r="A5" s="5" t="s">
        <v>67</v>
      </c>
      <c r="B5" s="5" t="s">
        <v>68</v>
      </c>
      <c r="C5" s="5" t="s">
        <v>30</v>
      </c>
      <c r="D5" s="5" t="s">
        <v>31</v>
      </c>
      <c r="E5" s="6">
        <v>46316.0</v>
      </c>
      <c r="F5" s="6">
        <v>46318.0</v>
      </c>
      <c r="G5" s="5" t="s">
        <v>39</v>
      </c>
      <c r="H5" s="8" t="s">
        <v>40</v>
      </c>
      <c r="I5" s="5" t="s">
        <v>69</v>
      </c>
      <c r="J5" s="5" t="s">
        <v>64</v>
      </c>
      <c r="K5" s="5" t="s">
        <v>58</v>
      </c>
      <c r="L5" s="5">
        <f t="shared" si="1"/>
        <v>14</v>
      </c>
      <c r="M5" s="3" t="str">
        <f t="shared" si="2"/>
        <v>On Track</v>
      </c>
      <c r="N5" s="3" t="str">
        <f t="shared" si="3"/>
        <v>Blocked</v>
      </c>
    </row>
    <row r="6" ht="27.0" customHeight="1">
      <c r="A6" s="5" t="s">
        <v>70</v>
      </c>
      <c r="B6" s="5" t="s">
        <v>71</v>
      </c>
      <c r="C6" s="5" t="s">
        <v>72</v>
      </c>
      <c r="D6" s="5" t="s">
        <v>73</v>
      </c>
      <c r="E6" s="6">
        <v>46315.0</v>
      </c>
      <c r="F6" s="6">
        <v>46322.0</v>
      </c>
      <c r="G6" s="5" t="s">
        <v>74</v>
      </c>
      <c r="H6" s="5" t="s">
        <v>60</v>
      </c>
      <c r="I6" s="5" t="s">
        <v>57</v>
      </c>
      <c r="J6" s="5" t="s">
        <v>25</v>
      </c>
      <c r="K6" s="5" t="s">
        <v>58</v>
      </c>
      <c r="L6" s="5">
        <f t="shared" si="1"/>
        <v>18</v>
      </c>
      <c r="M6" s="3" t="str">
        <f t="shared" si="2"/>
        <v>On Track</v>
      </c>
      <c r="N6" s="3" t="str">
        <f t="shared" si="3"/>
        <v>Ready</v>
      </c>
    </row>
    <row r="7" ht="27.0" customHeight="1">
      <c r="A7" s="5" t="s">
        <v>75</v>
      </c>
      <c r="B7" s="5" t="s">
        <v>76</v>
      </c>
      <c r="C7" s="5" t="s">
        <v>72</v>
      </c>
      <c r="D7" s="5" t="s">
        <v>73</v>
      </c>
      <c r="E7" s="6">
        <v>46319.0</v>
      </c>
      <c r="F7" s="6">
        <v>46327.0</v>
      </c>
      <c r="G7" s="5" t="s">
        <v>74</v>
      </c>
      <c r="H7" s="5" t="s">
        <v>40</v>
      </c>
      <c r="I7" s="5" t="s">
        <v>69</v>
      </c>
      <c r="J7" s="5" t="s">
        <v>70</v>
      </c>
      <c r="K7" s="5" t="s">
        <v>58</v>
      </c>
      <c r="L7" s="5">
        <f t="shared" si="1"/>
        <v>23</v>
      </c>
      <c r="M7" s="3" t="str">
        <f t="shared" si="2"/>
        <v>On Track</v>
      </c>
      <c r="N7" s="3" t="str">
        <f t="shared" si="3"/>
        <v>Blocked</v>
      </c>
    </row>
    <row r="8" ht="27.0" customHeight="1">
      <c r="A8" s="5" t="s">
        <v>77</v>
      </c>
      <c r="B8" s="5" t="s">
        <v>78</v>
      </c>
      <c r="C8" s="5" t="s">
        <v>72</v>
      </c>
      <c r="D8" s="5" t="s">
        <v>79</v>
      </c>
      <c r="E8" s="6">
        <v>46322.0</v>
      </c>
      <c r="F8" s="6">
        <v>46331.0</v>
      </c>
      <c r="G8" s="5" t="s">
        <v>66</v>
      </c>
      <c r="H8" s="5" t="s">
        <v>40</v>
      </c>
      <c r="I8" s="5" t="s">
        <v>57</v>
      </c>
      <c r="J8" s="5" t="s">
        <v>75</v>
      </c>
      <c r="K8" s="5" t="s">
        <v>58</v>
      </c>
      <c r="L8" s="5">
        <f t="shared" si="1"/>
        <v>27</v>
      </c>
      <c r="M8" s="3" t="str">
        <f t="shared" si="2"/>
        <v>On Track</v>
      </c>
      <c r="N8" s="3" t="str">
        <f t="shared" si="3"/>
        <v>Blocked</v>
      </c>
    </row>
    <row r="9" ht="27.0" customHeight="1">
      <c r="A9" s="5" t="s">
        <v>80</v>
      </c>
      <c r="B9" s="5" t="s">
        <v>82</v>
      </c>
      <c r="C9" s="5" t="s">
        <v>72</v>
      </c>
      <c r="D9" s="5" t="s">
        <v>79</v>
      </c>
      <c r="E9" s="6">
        <v>46329.0</v>
      </c>
      <c r="F9" s="6">
        <v>46340.0</v>
      </c>
      <c r="G9" s="5" t="s">
        <v>66</v>
      </c>
      <c r="H9" s="5" t="s">
        <v>40</v>
      </c>
      <c r="I9" s="5" t="s">
        <v>57</v>
      </c>
      <c r="J9" s="5" t="s">
        <v>75</v>
      </c>
      <c r="K9" s="5" t="s">
        <v>58</v>
      </c>
      <c r="L9" s="5">
        <f t="shared" si="1"/>
        <v>36</v>
      </c>
      <c r="M9" s="3" t="str">
        <f t="shared" si="2"/>
        <v>On Track</v>
      </c>
      <c r="N9" s="3" t="str">
        <f t="shared" si="3"/>
        <v>Blocked</v>
      </c>
    </row>
    <row r="10" ht="27.0" customHeight="1">
      <c r="A10" s="5" t="s">
        <v>84</v>
      </c>
      <c r="B10" s="5" t="s">
        <v>85</v>
      </c>
      <c r="C10" s="5" t="s">
        <v>72</v>
      </c>
      <c r="D10" s="5" t="s">
        <v>79</v>
      </c>
      <c r="E10" s="6">
        <v>46336.0</v>
      </c>
      <c r="F10" s="6">
        <v>46346.0</v>
      </c>
      <c r="G10" s="5" t="s">
        <v>74</v>
      </c>
      <c r="H10" s="5" t="s">
        <v>40</v>
      </c>
      <c r="I10" s="5" t="s">
        <v>69</v>
      </c>
      <c r="J10" s="5" t="s">
        <v>80</v>
      </c>
      <c r="K10" s="5" t="s">
        <v>58</v>
      </c>
      <c r="L10" s="5">
        <f t="shared" si="1"/>
        <v>42</v>
      </c>
      <c r="M10" s="3" t="str">
        <f t="shared" si="2"/>
        <v>On Track</v>
      </c>
      <c r="N10" s="3" t="str">
        <f t="shared" si="3"/>
        <v>Blocked</v>
      </c>
    </row>
    <row r="11" ht="27.0" customHeight="1">
      <c r="A11" s="5" t="s">
        <v>86</v>
      </c>
      <c r="B11" s="5" t="s">
        <v>87</v>
      </c>
      <c r="C11" s="5" t="s">
        <v>88</v>
      </c>
      <c r="D11" s="5" t="s">
        <v>89</v>
      </c>
      <c r="E11" s="6">
        <v>46336.0</v>
      </c>
      <c r="F11" s="6">
        <v>46347.0</v>
      </c>
      <c r="G11" s="5" t="s">
        <v>90</v>
      </c>
      <c r="H11" s="5" t="s">
        <v>40</v>
      </c>
      <c r="I11" s="5" t="s">
        <v>57</v>
      </c>
      <c r="J11" s="5" t="s">
        <v>67</v>
      </c>
      <c r="K11" s="5" t="s">
        <v>58</v>
      </c>
      <c r="L11" s="5">
        <f t="shared" si="1"/>
        <v>43</v>
      </c>
      <c r="M11" s="3" t="str">
        <f t="shared" si="2"/>
        <v>On Track</v>
      </c>
      <c r="N11" s="3" t="str">
        <f t="shared" si="3"/>
        <v>Blocked</v>
      </c>
    </row>
    <row r="12" ht="27.0" customHeight="1">
      <c r="A12" s="5" t="s">
        <v>91</v>
      </c>
      <c r="B12" s="5" t="s">
        <v>92</v>
      </c>
      <c r="C12" s="5" t="s">
        <v>88</v>
      </c>
      <c r="D12" s="5" t="s">
        <v>89</v>
      </c>
      <c r="E12" s="6">
        <v>46342.0</v>
      </c>
      <c r="F12" s="6">
        <v>46350.0</v>
      </c>
      <c r="G12" s="5" t="s">
        <v>90</v>
      </c>
      <c r="H12" s="5" t="s">
        <v>40</v>
      </c>
      <c r="I12" s="5" t="s">
        <v>57</v>
      </c>
      <c r="J12" s="5" t="s">
        <v>84</v>
      </c>
      <c r="K12" s="5" t="s">
        <v>58</v>
      </c>
      <c r="L12" s="5">
        <f t="shared" si="1"/>
        <v>46</v>
      </c>
      <c r="M12" s="3" t="str">
        <f t="shared" si="2"/>
        <v>On Track</v>
      </c>
      <c r="N12" s="3" t="str">
        <f t="shared" si="3"/>
        <v>Blocked</v>
      </c>
    </row>
    <row r="13" ht="27.0" customHeight="1">
      <c r="A13" s="5" t="s">
        <v>93</v>
      </c>
      <c r="B13" s="5" t="s">
        <v>94</v>
      </c>
      <c r="C13" s="5" t="s">
        <v>88</v>
      </c>
      <c r="D13" s="5" t="s">
        <v>89</v>
      </c>
      <c r="E13" s="6">
        <v>46349.0</v>
      </c>
      <c r="F13" s="6">
        <v>46358.0</v>
      </c>
      <c r="G13" s="5" t="s">
        <v>95</v>
      </c>
      <c r="H13" s="5" t="s">
        <v>40</v>
      </c>
      <c r="I13" s="5" t="s">
        <v>69</v>
      </c>
      <c r="J13" s="5" t="s">
        <v>86</v>
      </c>
      <c r="K13" s="5" t="s">
        <v>58</v>
      </c>
      <c r="L13" s="5">
        <f t="shared" si="1"/>
        <v>54</v>
      </c>
      <c r="M13" s="3" t="str">
        <f t="shared" si="2"/>
        <v>On Track</v>
      </c>
      <c r="N13" s="3" t="str">
        <f t="shared" si="3"/>
        <v>Blocked</v>
      </c>
    </row>
    <row r="14" ht="27.0" customHeight="1">
      <c r="A14" s="5" t="s">
        <v>96</v>
      </c>
      <c r="B14" s="5" t="s">
        <v>97</v>
      </c>
      <c r="C14" s="5" t="s">
        <v>88</v>
      </c>
      <c r="D14" s="5" t="s">
        <v>89</v>
      </c>
      <c r="E14" s="6">
        <v>46355.0</v>
      </c>
      <c r="F14" s="6">
        <v>46363.0</v>
      </c>
      <c r="G14" s="5" t="s">
        <v>90</v>
      </c>
      <c r="H14" s="5" t="s">
        <v>40</v>
      </c>
      <c r="I14" s="5" t="s">
        <v>57</v>
      </c>
      <c r="J14" s="5" t="s">
        <v>93</v>
      </c>
      <c r="K14" s="5" t="s">
        <v>58</v>
      </c>
      <c r="L14" s="5">
        <f t="shared" si="1"/>
        <v>59</v>
      </c>
      <c r="M14" s="3" t="str">
        <f t="shared" si="2"/>
        <v>On Track</v>
      </c>
      <c r="N14" s="3" t="str">
        <f t="shared" si="3"/>
        <v>Blocked</v>
      </c>
    </row>
    <row r="15" ht="27.0" customHeight="1">
      <c r="A15" s="5" t="s">
        <v>98</v>
      </c>
      <c r="B15" s="5" t="s">
        <v>99</v>
      </c>
      <c r="C15" s="5" t="s">
        <v>88</v>
      </c>
      <c r="D15" s="5" t="s">
        <v>89</v>
      </c>
      <c r="E15" s="6">
        <v>46361.0</v>
      </c>
      <c r="F15" s="6">
        <v>46367.0</v>
      </c>
      <c r="G15" s="5" t="s">
        <v>95</v>
      </c>
      <c r="H15" s="5" t="s">
        <v>40</v>
      </c>
      <c r="I15" s="5" t="s">
        <v>69</v>
      </c>
      <c r="J15" s="5" t="s">
        <v>96</v>
      </c>
      <c r="K15" s="5" t="s">
        <v>58</v>
      </c>
      <c r="L15" s="5">
        <f t="shared" si="1"/>
        <v>63</v>
      </c>
      <c r="M15" s="3" t="str">
        <f t="shared" si="2"/>
        <v>On Track</v>
      </c>
      <c r="N15" s="3" t="str">
        <f t="shared" si="3"/>
        <v>Blocked</v>
      </c>
    </row>
    <row r="16" ht="27.0" customHeight="1">
      <c r="A16" s="5" t="s">
        <v>101</v>
      </c>
      <c r="B16" s="5" t="s">
        <v>103</v>
      </c>
      <c r="C16" s="5" t="s">
        <v>104</v>
      </c>
      <c r="D16" s="5" t="s">
        <v>106</v>
      </c>
      <c r="E16" s="6">
        <v>46361.0</v>
      </c>
      <c r="F16" s="6">
        <v>46369.0</v>
      </c>
      <c r="G16" s="5" t="s">
        <v>108</v>
      </c>
      <c r="H16" s="5" t="s">
        <v>40</v>
      </c>
      <c r="I16" s="5" t="s">
        <v>57</v>
      </c>
      <c r="J16" s="5" t="s">
        <v>93</v>
      </c>
      <c r="K16" s="5" t="s">
        <v>58</v>
      </c>
      <c r="L16" s="5">
        <f t="shared" si="1"/>
        <v>65</v>
      </c>
      <c r="M16" s="3" t="str">
        <f t="shared" si="2"/>
        <v>On Track</v>
      </c>
      <c r="N16" s="3" t="str">
        <f t="shared" si="3"/>
        <v>Blocked</v>
      </c>
    </row>
    <row r="17" ht="27.0" customHeight="1">
      <c r="A17" s="5" t="s">
        <v>120</v>
      </c>
      <c r="B17" s="5" t="s">
        <v>122</v>
      </c>
      <c r="C17" s="5" t="s">
        <v>104</v>
      </c>
      <c r="D17" s="5" t="s">
        <v>106</v>
      </c>
      <c r="E17" s="6">
        <v>46368.0</v>
      </c>
      <c r="F17" s="6">
        <v>46374.0</v>
      </c>
      <c r="G17" s="5" t="s">
        <v>39</v>
      </c>
      <c r="H17" s="5" t="s">
        <v>40</v>
      </c>
      <c r="I17" s="5" t="s">
        <v>69</v>
      </c>
      <c r="J17" s="5" t="s">
        <v>98</v>
      </c>
      <c r="K17" s="5" t="s">
        <v>58</v>
      </c>
      <c r="L17" s="5">
        <f t="shared" si="1"/>
        <v>70</v>
      </c>
      <c r="M17" s="3" t="str">
        <f t="shared" si="2"/>
        <v>On Track</v>
      </c>
      <c r="N17" s="3" t="str">
        <f t="shared" si="3"/>
        <v>Blocked</v>
      </c>
    </row>
    <row r="18" ht="27.0" customHeight="1">
      <c r="A18" s="5" t="s">
        <v>133</v>
      </c>
      <c r="B18" s="5" t="s">
        <v>134</v>
      </c>
      <c r="C18" s="5" t="s">
        <v>104</v>
      </c>
      <c r="D18" s="5" t="s">
        <v>135</v>
      </c>
      <c r="E18" s="6">
        <v>46371.0</v>
      </c>
      <c r="F18" s="6">
        <v>46380.0</v>
      </c>
      <c r="G18" s="5" t="s">
        <v>108</v>
      </c>
      <c r="H18" s="5" t="s">
        <v>40</v>
      </c>
      <c r="I18" s="5" t="s">
        <v>57</v>
      </c>
      <c r="J18" s="5" t="s">
        <v>120</v>
      </c>
      <c r="K18" s="5" t="s">
        <v>58</v>
      </c>
      <c r="L18" s="5">
        <f t="shared" si="1"/>
        <v>76</v>
      </c>
      <c r="M18" s="3" t="str">
        <f t="shared" si="2"/>
        <v>On Track</v>
      </c>
      <c r="N18" s="3" t="str">
        <f t="shared" si="3"/>
        <v>Blocked</v>
      </c>
    </row>
    <row r="19" ht="27.0" customHeight="1">
      <c r="A19" s="5" t="s">
        <v>136</v>
      </c>
      <c r="B19" s="5" t="s">
        <v>137</v>
      </c>
      <c r="C19" s="5" t="s">
        <v>104</v>
      </c>
      <c r="D19" s="5" t="s">
        <v>135</v>
      </c>
      <c r="E19" s="6">
        <v>46381.0</v>
      </c>
      <c r="F19" s="6">
        <v>46388.0</v>
      </c>
      <c r="G19" s="5" t="s">
        <v>108</v>
      </c>
      <c r="H19" s="5" t="s">
        <v>40</v>
      </c>
      <c r="I19" s="5" t="s">
        <v>57</v>
      </c>
      <c r="J19" s="5" t="s">
        <v>133</v>
      </c>
      <c r="K19" s="5" t="s">
        <v>58</v>
      </c>
      <c r="L19" s="5">
        <f t="shared" si="1"/>
        <v>84</v>
      </c>
      <c r="M19" s="3" t="str">
        <f t="shared" si="2"/>
        <v>On Track</v>
      </c>
      <c r="N19" s="3" t="str">
        <f t="shared" si="3"/>
        <v>Blocked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conditionalFormatting sqref="H2:H19">
    <cfRule type="cellIs" dxfId="0" priority="1" operator="equal">
      <formula>"Done"</formula>
    </cfRule>
  </conditionalFormatting>
  <conditionalFormatting sqref="H2:H19">
    <cfRule type="cellIs" dxfId="1" priority="2" operator="equal">
      <formula>"In Progress"</formula>
    </cfRule>
  </conditionalFormatting>
  <conditionalFormatting sqref="H2:H19">
    <cfRule type="cellIs" dxfId="2" priority="3" operator="equal">
      <formula>"Not Started"</formula>
    </cfRule>
  </conditionalFormatting>
  <dataValidations>
    <dataValidation type="list" allowBlank="1" sqref="I2:I19">
      <formula1>"Low,Medium,High,Critical"</formula1>
    </dataValidation>
    <dataValidation type="list" allowBlank="1" sqref="H2:H19">
      <formula1>"Not Started,In Progress,Blocked,Done"</formula1>
    </dataValidation>
  </dataValidations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0"/>
  <sheetData>
    <row r="1"/>
    <row r="2"/>
    <row r="3"/>
    <row r="4"/>
    <row r="5"/>
  </sheetData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sheetData>
    <row r="1">
      <c r="A1" s="10" t="s">
        <v>2</v>
      </c>
      <c r="B1" s="10" t="s">
        <v>107</v>
      </c>
    </row>
    <row r="2">
      <c r="A2" s="11" t="s">
        <v>62</v>
      </c>
      <c r="B2" s="12" t="str">
        <f t="array" ref="B2">_xlfn.XLOOKUP(A2,'Task Register'!A:A,'Task Register'!B:B,"Task not found")</f>
        <v>Interview finance stakeholders</v>
      </c>
    </row>
    <row r="3">
      <c r="A3" s="11" t="s">
        <v>96</v>
      </c>
      <c r="B3" s="12" t="str">
        <f t="array" ref="B3">_xlfn.XLOOKUP(A3,'Task Register'!A:A,'Task Register'!B:B,"Task not found")</f>
        <v>Triage and assign defects</v>
      </c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14.0"/>
    <col customWidth="1" min="2" max="2" width="40.0"/>
    <col customWidth="1" min="3" max="8" width="20.0"/>
    <col customWidth="1" min="9" max="26" width="8.63"/>
  </cols>
  <sheetData>
    <row r="1" ht="30.0" customHeight="1">
      <c r="A1" s="1" t="s">
        <v>0</v>
      </c>
      <c r="B1" s="1" t="s">
        <v>100</v>
      </c>
      <c r="C1" s="1" t="s">
        <v>102</v>
      </c>
      <c r="D1" s="1" t="s">
        <v>105</v>
      </c>
      <c r="E1" s="1" t="s">
        <v>9</v>
      </c>
      <c r="F1" s="1" t="s">
        <v>109</v>
      </c>
      <c r="G1" s="1" t="s">
        <v>10</v>
      </c>
      <c r="H1" s="1" t="s">
        <v>3</v>
      </c>
    </row>
    <row r="2" ht="27.0" customHeight="1">
      <c r="A2" s="5" t="s">
        <v>111</v>
      </c>
      <c r="B2" s="5" t="s">
        <v>112</v>
      </c>
      <c r="C2" s="5" t="s">
        <v>113</v>
      </c>
      <c r="D2" s="5" t="s">
        <v>57</v>
      </c>
      <c r="E2" s="5" t="s">
        <v>39</v>
      </c>
      <c r="F2" s="5" t="s">
        <v>115</v>
      </c>
      <c r="G2" s="8" t="s">
        <v>116</v>
      </c>
      <c r="H2" s="5" t="s">
        <v>31</v>
      </c>
    </row>
    <row r="3" ht="27.0" customHeight="1">
      <c r="A3" s="5" t="s">
        <v>117</v>
      </c>
      <c r="B3" s="5" t="s">
        <v>118</v>
      </c>
      <c r="C3" s="5" t="s">
        <v>113</v>
      </c>
      <c r="D3" s="5" t="s">
        <v>57</v>
      </c>
      <c r="E3" s="5" t="s">
        <v>74</v>
      </c>
      <c r="F3" s="5" t="s">
        <v>119</v>
      </c>
      <c r="G3" s="5" t="s">
        <v>116</v>
      </c>
      <c r="H3" s="5" t="s">
        <v>73</v>
      </c>
    </row>
    <row r="4" ht="27.0" customHeight="1">
      <c r="A4" s="5" t="s">
        <v>121</v>
      </c>
      <c r="B4" s="5" t="s">
        <v>123</v>
      </c>
      <c r="C4" s="5" t="s">
        <v>124</v>
      </c>
      <c r="D4" s="5" t="s">
        <v>69</v>
      </c>
      <c r="E4" s="5" t="s">
        <v>74</v>
      </c>
      <c r="F4" s="5" t="s">
        <v>125</v>
      </c>
      <c r="G4" s="5" t="s">
        <v>116</v>
      </c>
      <c r="H4" s="5" t="s">
        <v>79</v>
      </c>
    </row>
    <row r="5" ht="27.0" customHeight="1">
      <c r="A5" s="5" t="s">
        <v>126</v>
      </c>
      <c r="B5" s="5" t="s">
        <v>127</v>
      </c>
      <c r="C5" s="5" t="s">
        <v>113</v>
      </c>
      <c r="D5" s="5" t="s">
        <v>128</v>
      </c>
      <c r="E5" s="5" t="s">
        <v>90</v>
      </c>
      <c r="F5" s="5" t="s">
        <v>129</v>
      </c>
      <c r="G5" s="5" t="s">
        <v>116</v>
      </c>
      <c r="H5" s="5" t="s">
        <v>89</v>
      </c>
    </row>
    <row r="6" ht="27.0" customHeight="1">
      <c r="A6" s="5" t="s">
        <v>130</v>
      </c>
      <c r="B6" s="5" t="s">
        <v>131</v>
      </c>
      <c r="C6" s="5" t="s">
        <v>113</v>
      </c>
      <c r="D6" s="5" t="s">
        <v>69</v>
      </c>
      <c r="E6" s="5" t="s">
        <v>39</v>
      </c>
      <c r="F6" s="5" t="s">
        <v>132</v>
      </c>
      <c r="G6" s="5" t="s">
        <v>116</v>
      </c>
      <c r="H6" s="5" t="s">
        <v>106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14.0"/>
    <col customWidth="1" min="2" max="2" width="40.0"/>
    <col customWidth="1" min="3" max="8" width="20.0"/>
    <col customWidth="1" min="9" max="26" width="8.63"/>
  </cols>
  <sheetData>
    <row r="1" ht="30.0" customHeight="1">
      <c r="A1" s="1" t="s">
        <v>144</v>
      </c>
      <c r="B1" s="1" t="s">
        <v>145</v>
      </c>
      <c r="C1" s="1" t="s">
        <v>146</v>
      </c>
      <c r="D1" s="1" t="s">
        <v>10</v>
      </c>
      <c r="E1" s="1" t="s">
        <v>147</v>
      </c>
      <c r="F1" s="1" t="s">
        <v>11</v>
      </c>
      <c r="G1" s="1" t="s">
        <v>3</v>
      </c>
      <c r="H1" s="1" t="s">
        <v>148</v>
      </c>
    </row>
    <row r="2" ht="27.0" customHeight="1">
      <c r="A2" s="5" t="s">
        <v>149</v>
      </c>
      <c r="B2" s="5" t="s">
        <v>150</v>
      </c>
      <c r="C2" s="5" t="s">
        <v>151</v>
      </c>
      <c r="D2" s="8" t="s">
        <v>152</v>
      </c>
      <c r="E2" s="5" t="s">
        <v>95</v>
      </c>
      <c r="F2" s="5" t="s">
        <v>57</v>
      </c>
      <c r="G2" s="5" t="s">
        <v>79</v>
      </c>
      <c r="H2" s="5"/>
    </row>
    <row r="3" ht="27.0" customHeight="1">
      <c r="A3" s="5" t="s">
        <v>153</v>
      </c>
      <c r="B3" s="5" t="s">
        <v>154</v>
      </c>
      <c r="C3" s="5" t="s">
        <v>155</v>
      </c>
      <c r="D3" s="8" t="s">
        <v>156</v>
      </c>
      <c r="E3" s="5" t="s">
        <v>95</v>
      </c>
      <c r="F3" s="5" t="s">
        <v>128</v>
      </c>
      <c r="G3" s="5" t="s">
        <v>89</v>
      </c>
      <c r="H3" s="8" t="s">
        <v>157</v>
      </c>
    </row>
    <row r="4" ht="27.0" customHeight="1">
      <c r="A4" s="5" t="s">
        <v>158</v>
      </c>
      <c r="B4" s="5" t="s">
        <v>159</v>
      </c>
      <c r="C4" s="5" t="s">
        <v>160</v>
      </c>
      <c r="D4" s="5" t="s">
        <v>161</v>
      </c>
      <c r="E4" s="5" t="s">
        <v>95</v>
      </c>
      <c r="F4" s="5" t="s">
        <v>162</v>
      </c>
      <c r="G4" s="5" t="s">
        <v>89</v>
      </c>
      <c r="H4" s="5"/>
    </row>
    <row r="5" ht="27.0" customHeight="1">
      <c r="A5" s="5" t="s">
        <v>163</v>
      </c>
      <c r="B5" s="5" t="s">
        <v>164</v>
      </c>
      <c r="C5" s="5" t="s">
        <v>165</v>
      </c>
      <c r="D5" s="5" t="s">
        <v>161</v>
      </c>
      <c r="E5" s="5" t="s">
        <v>95</v>
      </c>
      <c r="F5" s="5" t="s">
        <v>57</v>
      </c>
      <c r="G5" s="5" t="s">
        <v>89</v>
      </c>
      <c r="H5" s="5"/>
    </row>
    <row r="6" ht="27.0" customHeight="1">
      <c r="A6" s="5" t="s">
        <v>166</v>
      </c>
      <c r="B6" s="5" t="s">
        <v>167</v>
      </c>
      <c r="C6" s="5" t="s">
        <v>168</v>
      </c>
      <c r="D6" s="5" t="s">
        <v>161</v>
      </c>
      <c r="E6" s="5" t="s">
        <v>95</v>
      </c>
      <c r="F6" s="5" t="s">
        <v>57</v>
      </c>
      <c r="G6" s="5" t="s">
        <v>89</v>
      </c>
      <c r="H6" s="5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ataValidations>
    <dataValidation type="list" allowBlank="1" sqref="D2:D6">
      <formula1>"Not Run,Pass,Fail,Blocked"</formula1>
    </dataValidation>
  </dataValidations>
  <printOptions/>
  <pageMargins bottom="0.75" footer="0.0" header="0.0" left="0.7" right="0.7" top="0.75"/>
  <pageSetup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14.0"/>
    <col customWidth="1" min="2" max="2" width="40.0"/>
    <col customWidth="1" min="3" max="8" width="20.0"/>
    <col customWidth="1" min="9" max="26" width="8.63"/>
  </cols>
  <sheetData>
    <row r="1" ht="30.0" customHeight="1">
      <c r="A1" s="1" t="s">
        <v>169</v>
      </c>
      <c r="B1" s="1" t="s">
        <v>170</v>
      </c>
      <c r="C1" s="1" t="s">
        <v>11</v>
      </c>
      <c r="D1" s="1" t="s">
        <v>10</v>
      </c>
      <c r="E1" s="1" t="s">
        <v>9</v>
      </c>
      <c r="F1" s="1" t="s">
        <v>171</v>
      </c>
      <c r="G1" s="1" t="s">
        <v>172</v>
      </c>
      <c r="H1" s="1" t="s">
        <v>173</v>
      </c>
    </row>
    <row r="2" ht="27.0" customHeight="1">
      <c r="A2" s="5" t="s">
        <v>174</v>
      </c>
      <c r="B2" s="5" t="s">
        <v>175</v>
      </c>
      <c r="C2" s="5" t="s">
        <v>57</v>
      </c>
      <c r="D2" s="5" t="s">
        <v>116</v>
      </c>
      <c r="E2" s="5" t="s">
        <v>74</v>
      </c>
      <c r="F2" s="5" t="s">
        <v>166</v>
      </c>
      <c r="G2" s="5" t="s">
        <v>176</v>
      </c>
      <c r="H2" s="5" t="s">
        <v>177</v>
      </c>
    </row>
    <row r="3" ht="27.0" customHeight="1">
      <c r="A3" s="5" t="s">
        <v>178</v>
      </c>
      <c r="B3" s="5" t="s">
        <v>179</v>
      </c>
      <c r="C3" s="5" t="s">
        <v>128</v>
      </c>
      <c r="D3" s="5" t="s">
        <v>116</v>
      </c>
      <c r="E3" s="5" t="s">
        <v>66</v>
      </c>
      <c r="F3" s="5" t="s">
        <v>153</v>
      </c>
      <c r="G3" s="5" t="s">
        <v>180</v>
      </c>
      <c r="H3" s="5" t="s">
        <v>177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32.0"/>
    <col customWidth="1" min="2" max="4" width="22.0"/>
    <col customWidth="1" min="5" max="26" width="8.63"/>
  </cols>
  <sheetData>
    <row r="1" ht="30.0" customHeight="1">
      <c r="A1" s="2" t="s">
        <v>181</v>
      </c>
      <c r="B1" s="2"/>
      <c r="C1" s="2"/>
      <c r="D1" s="2"/>
    </row>
    <row r="3">
      <c r="A3" s="13" t="s">
        <v>182</v>
      </c>
      <c r="B3" s="13" t="s">
        <v>183</v>
      </c>
    </row>
    <row r="4">
      <c r="A4" s="3" t="s">
        <v>184</v>
      </c>
      <c r="B4" s="3">
        <f>COUNTA('Task Register'!A2:A19)</f>
        <v>18</v>
      </c>
    </row>
    <row r="5">
      <c r="A5" s="3" t="s">
        <v>185</v>
      </c>
      <c r="B5" s="3">
        <f>COUNTIF('Task Register'!H2:H19,"Done")</f>
        <v>1</v>
      </c>
    </row>
    <row r="6">
      <c r="A6" s="3" t="s">
        <v>186</v>
      </c>
      <c r="B6" s="3">
        <f>COUNTIF('Task Register'!H2:H19,"Blocked")</f>
        <v>0</v>
      </c>
    </row>
    <row r="7">
      <c r="A7" s="3" t="s">
        <v>187</v>
      </c>
      <c r="B7" s="3">
        <f>COUNTIF('Task Register'!H2:H19,"In Progress")</f>
        <v>3</v>
      </c>
    </row>
    <row r="8">
      <c r="A8" s="3" t="s">
        <v>188</v>
      </c>
      <c r="B8" s="3">
        <f>COUNTIF('Risk and Issue Log'!G2:G6,"Open")</f>
        <v>5</v>
      </c>
    </row>
    <row r="9">
      <c r="A9" s="3" t="s">
        <v>189</v>
      </c>
      <c r="B9" s="3">
        <f>COUNTIF('UAT Cases'!D2:D6,"Not Run")</f>
        <v>3</v>
      </c>
    </row>
    <row r="11">
      <c r="A11" s="13" t="s">
        <v>5</v>
      </c>
      <c r="B11" s="13" t="s">
        <v>190</v>
      </c>
      <c r="C11" s="13" t="s">
        <v>191</v>
      </c>
      <c r="D11" s="13" t="s">
        <v>21</v>
      </c>
    </row>
    <row r="12">
      <c r="A12" s="3" t="s">
        <v>30</v>
      </c>
      <c r="B12" s="3">
        <f>COUNTIF('Task Register'!C2:C19,A12)</f>
        <v>4</v>
      </c>
      <c r="C12" s="3">
        <f>COUNTIFS('Task Register'!C2:C19,A12,'Task Register'!H2:H19,"Done")</f>
        <v>1</v>
      </c>
      <c r="D12" s="15">
        <f t="shared" ref="D12:D15" si="1">IFERROR(C12/B12,0)</f>
        <v>0.25</v>
      </c>
    </row>
    <row r="13">
      <c r="A13" s="3" t="s">
        <v>72</v>
      </c>
      <c r="B13" s="3">
        <f>COUNTIF('Task Register'!C2:C19,A13)</f>
        <v>5</v>
      </c>
      <c r="C13" s="3">
        <f>COUNTIFS('Task Register'!C2:C19,A13,'Task Register'!H2:H19,"Done")</f>
        <v>0</v>
      </c>
      <c r="D13" s="15">
        <f t="shared" si="1"/>
        <v>0</v>
      </c>
    </row>
    <row r="14">
      <c r="A14" s="3" t="s">
        <v>88</v>
      </c>
      <c r="B14" s="3">
        <f>COUNTIF('Task Register'!C2:C19,A14)</f>
        <v>5</v>
      </c>
      <c r="C14" s="3">
        <f>COUNTIFS('Task Register'!C2:C19,A14,'Task Register'!H2:H19,"Done")</f>
        <v>0</v>
      </c>
      <c r="D14" s="15">
        <f t="shared" si="1"/>
        <v>0</v>
      </c>
    </row>
    <row r="15">
      <c r="A15" s="3" t="s">
        <v>104</v>
      </c>
      <c r="B15" s="3">
        <f>COUNTIF('Task Register'!C2:C19,A15)</f>
        <v>4</v>
      </c>
      <c r="C15" s="3">
        <f>COUNTIFS('Task Register'!C2:C19,A15,'Task Register'!H2:H19,"Done")</f>
        <v>0</v>
      </c>
      <c r="D15" s="15">
        <f t="shared" si="1"/>
        <v>0</v>
      </c>
    </row>
    <row r="17">
      <c r="A17" s="3" t="s">
        <v>192</v>
      </c>
      <c r="B17" s="3" t="s">
        <v>193</v>
      </c>
    </row>
    <row r="18">
      <c r="A18" s="3" t="s">
        <v>194</v>
      </c>
      <c r="B18" s="3" t="s">
        <v>195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sheetData>
    <row r="1">
      <c r="A1" s="14" t="str">
        <f>IFERROR(__xludf.DUMMYFUNCTION("QUERY('Task Register'!A1:Z1000,
""SELECT H, COUNT(A)
 WHERE H IS NOT NULL
 GROUP BY H
 LABEL H 'Task Status', COUNT(A) 'Number of Tasks'"",
1)"),"Task Status")</f>
        <v>Task Status</v>
      </c>
      <c r="B1" s="14" t="str">
        <f>IFERROR(__xludf.DUMMYFUNCTION("""COMPUTED_VALUE"""),"Number of Tasks")</f>
        <v>Number of Tasks</v>
      </c>
    </row>
    <row r="2">
      <c r="A2" s="12" t="str">
        <f>IFERROR(__xludf.DUMMYFUNCTION("""COMPUTED_VALUE"""),"Done")</f>
        <v>Done</v>
      </c>
      <c r="B2" s="12">
        <f>IFERROR(__xludf.DUMMYFUNCTION("""COMPUTED_VALUE"""),1.0)</f>
        <v>1</v>
      </c>
    </row>
    <row r="3">
      <c r="A3" s="12" t="str">
        <f>IFERROR(__xludf.DUMMYFUNCTION("""COMPUTED_VALUE"""),"In Progress")</f>
        <v>In Progress</v>
      </c>
      <c r="B3" s="12">
        <f>IFERROR(__xludf.DUMMYFUNCTION("""COMPUTED_VALUE"""),3.0)</f>
        <v>3</v>
      </c>
    </row>
    <row r="4">
      <c r="A4" s="12" t="str">
        <f>IFERROR(__xludf.DUMMYFUNCTION("""COMPUTED_VALUE"""),"Not Started")</f>
        <v>Not Started</v>
      </c>
      <c r="B4" s="12">
        <f>IFERROR(__xludf.DUMMYFUNCTION("""COMPUTED_VALUE"""),14.0)</f>
        <v>14</v>
      </c>
    </row>
  </sheetData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sheetData>
    <row r="1">
      <c r="A1" s="17" t="s">
        <v>196</v>
      </c>
    </row>
    <row r="3">
      <c r="A3" s="18" t="s">
        <v>17</v>
      </c>
      <c r="B3" s="19">
        <f>COUNTA('Task Register'!A2:A1000)</f>
        <v>18</v>
      </c>
    </row>
    <row r="4">
      <c r="A4" s="18" t="s">
        <v>191</v>
      </c>
      <c r="B4" s="19">
        <f>COUNTIF('Task Register'!H2:H1000,"Done")</f>
        <v>1</v>
      </c>
    </row>
    <row r="5">
      <c r="A5" s="18" t="s">
        <v>60</v>
      </c>
      <c r="B5" s="19">
        <f>COUNTIF('Task Register'!H2:H1000,"In Progress")</f>
        <v>3</v>
      </c>
    </row>
    <row r="6">
      <c r="A6" s="18" t="s">
        <v>40</v>
      </c>
      <c r="B6" s="19">
        <f>COUNTIF('Task Register'!H2:H1000,"Not Started")</f>
        <v>14</v>
      </c>
    </row>
    <row r="7">
      <c r="A7" s="18" t="s">
        <v>197</v>
      </c>
      <c r="B7" s="19">
        <f>COUNTIF('Task Register'!M2:M1000,"Overdue")</f>
        <v>0</v>
      </c>
    </row>
    <row r="8">
      <c r="A8" s="18" t="s">
        <v>198</v>
      </c>
      <c r="B8" s="19">
        <f>COUNTIF('Task Register'!M2:M1000,"Due Soon")</f>
        <v>0</v>
      </c>
    </row>
    <row r="9">
      <c r="A9" s="18" t="s">
        <v>199</v>
      </c>
      <c r="B9" s="20">
        <f>IFERROR(B4/B3,0)</f>
        <v>0.05555555556</v>
      </c>
    </row>
    <row r="11">
      <c r="A11" s="18" t="s">
        <v>200</v>
      </c>
      <c r="B11" s="12">
        <f>COUNTIFS('Task Register'!I2:I1000,"Critical",'Task Register'!H2:H1000,"&lt;&gt;Done")</f>
        <v>6</v>
      </c>
    </row>
    <row r="12">
      <c r="A12" s="18" t="s">
        <v>201</v>
      </c>
      <c r="B12" s="12">
        <f>COUNTIFS('Task Register'!I2:I1000,"High",'Task Register'!H2:H1000,"&lt;&gt;Done")</f>
        <v>11</v>
      </c>
    </row>
    <row r="13">
      <c r="A13" s="18" t="s">
        <v>202</v>
      </c>
      <c r="B13" s="12">
        <f>COUNTIF('Risk and Issue Log'!G2:G1000,"Open")</f>
        <v>5</v>
      </c>
    </row>
    <row r="14">
      <c r="A14" s="18" t="s">
        <v>203</v>
      </c>
      <c r="B14" s="12">
        <f>COUNTIFS('Risk and Issue Log'!D2:D1000,"Critical",'Risk and Issue Log'!G2:G1000,"Open")</f>
        <v>2</v>
      </c>
    </row>
    <row r="16">
      <c r="A16" s="21" t="s">
        <v>105</v>
      </c>
      <c r="B16" s="18" t="s">
        <v>204</v>
      </c>
    </row>
    <row r="17">
      <c r="A17" s="11" t="s">
        <v>69</v>
      </c>
      <c r="B17" s="12">
        <f>COUNTIFS('Risk and Issue Log'!D$2:D1000,A17,'Risk and Issue Log'!G$2:G1000,"Open")</f>
        <v>2</v>
      </c>
    </row>
    <row r="18">
      <c r="A18" s="11" t="s">
        <v>57</v>
      </c>
      <c r="B18" s="12">
        <f>COUNTIFS('Risk and Issue Log'!D$2:D1000,A18,'Risk and Issue Log'!G$2:G1000,"Open")</f>
        <v>2</v>
      </c>
    </row>
    <row r="19">
      <c r="A19" s="11" t="s">
        <v>128</v>
      </c>
      <c r="B19" s="12">
        <f>COUNTIFS('Risk and Issue Log'!D$2:D1000,A19,'Risk and Issue Log'!G$2:G1000,"Open")</f>
        <v>1</v>
      </c>
    </row>
    <row r="22">
      <c r="A22" s="22" t="s">
        <v>205</v>
      </c>
    </row>
    <row r="24">
      <c r="A24" s="23" t="s">
        <v>206</v>
      </c>
    </row>
    <row r="25">
      <c r="A25" s="23" t="s">
        <v>207</v>
      </c>
    </row>
    <row r="26">
      <c r="A26" s="23" t="s">
        <v>208</v>
      </c>
    </row>
    <row r="27">
      <c r="A27" s="23" t="s">
        <v>209</v>
      </c>
    </row>
    <row r="30">
      <c r="A30" s="22" t="s">
        <v>210</v>
      </c>
      <c r="D30" s="22" t="s">
        <v>211</v>
      </c>
      <c r="G30" s="22" t="s">
        <v>212</v>
      </c>
    </row>
    <row r="32">
      <c r="A32" s="24" t="s">
        <v>213</v>
      </c>
      <c r="B32" s="12">
        <f>COUNTA('UAT Cases'!A2:A1000)</f>
        <v>5</v>
      </c>
      <c r="D32" s="24" t="s">
        <v>214</v>
      </c>
      <c r="E32" s="12">
        <f>COUNTA('Defect Register'!A2:A1000)</f>
        <v>2</v>
      </c>
      <c r="G32" s="24" t="s">
        <v>215</v>
      </c>
      <c r="H32" s="12" t="str">
        <f>IF(AND(B35=0,B34=0,E33=0,B14=0),"READY FOR REVIEW","NOT READY")</f>
        <v>NOT READY</v>
      </c>
    </row>
    <row r="33">
      <c r="A33" s="24" t="s">
        <v>216</v>
      </c>
      <c r="B33" s="12">
        <f>COUNTIF('UAT Cases'!D2:D1000,"Pass")</f>
        <v>1</v>
      </c>
      <c r="D33" s="24" t="s">
        <v>217</v>
      </c>
      <c r="E33" s="12">
        <f>COUNTIF('Defect Register'!D2:D1000,"Open")</f>
        <v>2</v>
      </c>
    </row>
    <row r="34">
      <c r="A34" s="24" t="s">
        <v>218</v>
      </c>
      <c r="B34" s="12">
        <f>COUNTIF('UAT Cases'!D2:D1000,"Fail")</f>
        <v>1</v>
      </c>
      <c r="D34" s="24" t="s">
        <v>219</v>
      </c>
      <c r="E34" s="12">
        <f>COUNTIFS('Defect Register'!C2:C1000,"High",'Defect Register'!D2:D1000,"Open")</f>
        <v>1</v>
      </c>
    </row>
    <row r="35">
      <c r="A35" s="24" t="s">
        <v>161</v>
      </c>
      <c r="B35" s="12">
        <f>COUNTIF('UAT Cases'!D2:D1000,"Not Run")</f>
        <v>3</v>
      </c>
    </row>
    <row r="36">
      <c r="A36" s="24" t="s">
        <v>220</v>
      </c>
      <c r="B36" s="25">
        <f>IFERROR(B33/(B33+B34),0)</f>
        <v>0.5</v>
      </c>
    </row>
    <row r="39">
      <c r="A39" s="22" t="s">
        <v>221</v>
      </c>
      <c r="D39" s="22" t="s">
        <v>222</v>
      </c>
    </row>
    <row r="40">
      <c r="D40" s="26"/>
    </row>
    <row r="41">
      <c r="A41" s="27" t="s">
        <v>223</v>
      </c>
      <c r="B41" s="19">
        <f>B35</f>
        <v>3</v>
      </c>
      <c r="D41" s="24" t="s">
        <v>224</v>
      </c>
      <c r="E41" s="19">
        <f>COUNTIF('Task Register'!N2:N1000,"Blocked")</f>
        <v>15</v>
      </c>
      <c r="G41" s="24" t="s">
        <v>225</v>
      </c>
      <c r="H41" s="12">
        <f>COUNTIFS('Task Register'!N2:N1000,"Blocked",'Task Register'!I2:I1000,"Critical")</f>
        <v>6</v>
      </c>
    </row>
    <row r="42">
      <c r="A42" s="27" t="s">
        <v>226</v>
      </c>
      <c r="B42" s="19">
        <f>B34</f>
        <v>1</v>
      </c>
      <c r="D42" s="24" t="s">
        <v>227</v>
      </c>
      <c r="E42" s="19">
        <f>COUNTIF('Task Register'!N2:N1000,"Ready")</f>
        <v>1</v>
      </c>
    </row>
    <row r="43">
      <c r="A43" s="24" t="s">
        <v>217</v>
      </c>
      <c r="B43" s="19">
        <f>E33</f>
        <v>2</v>
      </c>
      <c r="D43" s="24" t="s">
        <v>228</v>
      </c>
      <c r="E43" s="19">
        <f>COUNTIF('Task Register'!N2:N1000,"No Dependency")</f>
        <v>2</v>
      </c>
    </row>
    <row r="44">
      <c r="A44" s="27" t="s">
        <v>203</v>
      </c>
      <c r="B44" s="19">
        <f>B14</f>
        <v>2</v>
      </c>
    </row>
    <row r="47">
      <c r="A47" s="3" t="str">
        <f>IF(H32="READY FOR REVIEW",
"All automated release checks passed. Awaiting formal approval.",
"Release blocked: "&amp;TEXTJOIN("; ",TRUE,
IF(B41&gt;0,B41&amp;" UAT tests not run",""),
IF(B42&gt;0,B42&amp;" failed UAT test",""),
IF(B43&gt;0,B43&amp;" open defects",""),
IF(B44&gt;0,B44&amp;" open critical risks/issues","")))</f>
        <v>Release blocked: 3 UAT tests not run; 1 failed UAT test; 2 open defects; 2 open critical risks/issues</v>
      </c>
    </row>
  </sheetData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sheetData>
    <row r="1">
      <c r="A1" s="14" t="str">
        <f>IFERROR(__xludf.DUMMYFUNCTION("QUERY('Task Register'!A1:N1000,
""select A,B,G,I,F,J,N
 where N = 'Blocked'
 and I = 'Critical'
 order by F asc
 label A 'Task ID',
 B 'Task',
 G 'Owner',
 I 'Priority',
 F 'Due Date',
 J 'Waiting On',
 N 'Dependency Status'"",1)"),"Task ID")</f>
        <v>Task ID</v>
      </c>
      <c r="B1" s="14" t="str">
        <f>IFERROR(__xludf.DUMMYFUNCTION("""COMPUTED_VALUE"""),"Task")</f>
        <v>Task</v>
      </c>
      <c r="C1" s="14" t="str">
        <f>IFERROR(__xludf.DUMMYFUNCTION("""COMPUTED_VALUE"""),"Owner")</f>
        <v>Owner</v>
      </c>
      <c r="D1" s="14" t="str">
        <f>IFERROR(__xludf.DUMMYFUNCTION("""COMPUTED_VALUE"""),"Priority")</f>
        <v>Priority</v>
      </c>
      <c r="E1" s="14" t="str">
        <f>IFERROR(__xludf.DUMMYFUNCTION("""COMPUTED_VALUE"""),"Due Date")</f>
        <v>Due Date</v>
      </c>
      <c r="F1" s="14" t="str">
        <f>IFERROR(__xludf.DUMMYFUNCTION("""COMPUTED_VALUE"""),"Waiting On")</f>
        <v>Waiting On</v>
      </c>
      <c r="G1" s="14" t="str">
        <f>IFERROR(__xludf.DUMMYFUNCTION("""COMPUTED_VALUE"""),"Dependency Status")</f>
        <v>Dependency Status</v>
      </c>
    </row>
    <row r="2">
      <c r="A2" s="12" t="str">
        <f>IFERROR(__xludf.DUMMYFUNCTION("""COMPUTED_VALUE"""),"T004")</f>
        <v>T004</v>
      </c>
      <c r="B2" s="12" t="str">
        <f>IFERROR(__xludf.DUMMYFUNCTION("""COMPUTED_VALUE"""),"Approve scope and acceptance criteria")</f>
        <v>Approve scope and acceptance criteria</v>
      </c>
      <c r="C2" s="12" t="str">
        <f>IFERROR(__xludf.DUMMYFUNCTION("""COMPUTED_VALUE"""),"Project Manager")</f>
        <v>Project Manager</v>
      </c>
      <c r="D2" s="12" t="str">
        <f>IFERROR(__xludf.DUMMYFUNCTION("""COMPUTED_VALUE"""),"Critical")</f>
        <v>Critical</v>
      </c>
      <c r="E2" s="16">
        <f>IFERROR(__xludf.DUMMYFUNCTION("""COMPUTED_VALUE"""),46318.0)</f>
        <v>46318</v>
      </c>
      <c r="F2" s="12" t="str">
        <f>IFERROR(__xludf.DUMMYFUNCTION("""COMPUTED_VALUE"""),"T003")</f>
        <v>T003</v>
      </c>
      <c r="G2" s="12" t="str">
        <f>IFERROR(__xludf.DUMMYFUNCTION("""COMPUTED_VALUE"""),"Blocked")</f>
        <v>Blocked</v>
      </c>
    </row>
    <row r="3">
      <c r="A3" s="12" t="str">
        <f>IFERROR(__xludf.DUMMYFUNCTION("""COMPUTED_VALUE"""),"T006")</f>
        <v>T006</v>
      </c>
      <c r="B3" s="12" t="str">
        <f>IFERROR(__xludf.DUMMYFUNCTION("""COMPUTED_VALUE"""),"Prepare source-to-target mapping")</f>
        <v>Prepare source-to-target mapping</v>
      </c>
      <c r="C3" s="12" t="str">
        <f>IFERROR(__xludf.DUMMYFUNCTION("""COMPUTED_VALUE"""),"Data Lead")</f>
        <v>Data Lead</v>
      </c>
      <c r="D3" s="12" t="str">
        <f>IFERROR(__xludf.DUMMYFUNCTION("""COMPUTED_VALUE"""),"Critical")</f>
        <v>Critical</v>
      </c>
      <c r="E3" s="16">
        <f>IFERROR(__xludf.DUMMYFUNCTION("""COMPUTED_VALUE"""),46327.0)</f>
        <v>46327</v>
      </c>
      <c r="F3" s="12" t="str">
        <f>IFERROR(__xludf.DUMMYFUNCTION("""COMPUTED_VALUE"""),"T005")</f>
        <v>T005</v>
      </c>
      <c r="G3" s="12" t="str">
        <f>IFERROR(__xludf.DUMMYFUNCTION("""COMPUTED_VALUE"""),"Blocked")</f>
        <v>Blocked</v>
      </c>
    </row>
    <row r="4">
      <c r="A4" s="12" t="str">
        <f>IFERROR(__xludf.DUMMYFUNCTION("""COMPUTED_VALUE"""),"T009")</f>
        <v>T009</v>
      </c>
      <c r="B4" s="12" t="str">
        <f>IFERROR(__xludf.DUMMYFUNCTION("""COMPUTED_VALUE"""),"Reconcile balances and totals")</f>
        <v>Reconcile balances and totals</v>
      </c>
      <c r="C4" s="12" t="str">
        <f>IFERROR(__xludf.DUMMYFUNCTION("""COMPUTED_VALUE"""),"Data Lead")</f>
        <v>Data Lead</v>
      </c>
      <c r="D4" s="12" t="str">
        <f>IFERROR(__xludf.DUMMYFUNCTION("""COMPUTED_VALUE"""),"Critical")</f>
        <v>Critical</v>
      </c>
      <c r="E4" s="16">
        <f>IFERROR(__xludf.DUMMYFUNCTION("""COMPUTED_VALUE"""),46346.0)</f>
        <v>46346</v>
      </c>
      <c r="F4" s="12" t="str">
        <f>IFERROR(__xludf.DUMMYFUNCTION("""COMPUTED_VALUE"""),"T008")</f>
        <v>T008</v>
      </c>
      <c r="G4" s="12" t="str">
        <f>IFERROR(__xludf.DUMMYFUNCTION("""COMPUTED_VALUE"""),"Blocked")</f>
        <v>Blocked</v>
      </c>
    </row>
    <row r="5">
      <c r="A5" s="12" t="str">
        <f>IFERROR(__xludf.DUMMYFUNCTION("""COMPUTED_VALUE"""),"T012")</f>
        <v>T012</v>
      </c>
      <c r="B5" s="12" t="str">
        <f>IFERROR(__xludf.DUMMYFUNCTION("""COMPUTED_VALUE"""),"Run UAT cycle 1")</f>
        <v>Run UAT cycle 1</v>
      </c>
      <c r="C5" s="12" t="str">
        <f>IFERROR(__xludf.DUMMYFUNCTION("""COMPUTED_VALUE"""),"Finance Tester")</f>
        <v>Finance Tester</v>
      </c>
      <c r="D5" s="12" t="str">
        <f>IFERROR(__xludf.DUMMYFUNCTION("""COMPUTED_VALUE"""),"Critical")</f>
        <v>Critical</v>
      </c>
      <c r="E5" s="16">
        <f>IFERROR(__xludf.DUMMYFUNCTION("""COMPUTED_VALUE"""),46358.0)</f>
        <v>46358</v>
      </c>
      <c r="F5" s="12" t="str">
        <f>IFERROR(__xludf.DUMMYFUNCTION("""COMPUTED_VALUE"""),"T010")</f>
        <v>T010</v>
      </c>
      <c r="G5" s="12" t="str">
        <f>IFERROR(__xludf.DUMMYFUNCTION("""COMPUTED_VALUE"""),"Blocked")</f>
        <v>Blocked</v>
      </c>
    </row>
    <row r="6">
      <c r="A6" s="12" t="str">
        <f>IFERROR(__xludf.DUMMYFUNCTION("""COMPUTED_VALUE"""),"T014")</f>
        <v>T014</v>
      </c>
      <c r="B6" s="12" t="str">
        <f>IFERROR(__xludf.DUMMYFUNCTION("""COMPUTED_VALUE"""),"Retest resolved defects")</f>
        <v>Retest resolved defects</v>
      </c>
      <c r="C6" s="12" t="str">
        <f>IFERROR(__xludf.DUMMYFUNCTION("""COMPUTED_VALUE"""),"Finance Tester")</f>
        <v>Finance Tester</v>
      </c>
      <c r="D6" s="12" t="str">
        <f>IFERROR(__xludf.DUMMYFUNCTION("""COMPUTED_VALUE"""),"Critical")</f>
        <v>Critical</v>
      </c>
      <c r="E6" s="16">
        <f>IFERROR(__xludf.DUMMYFUNCTION("""COMPUTED_VALUE"""),46367.0)</f>
        <v>46367</v>
      </c>
      <c r="F6" s="12" t="str">
        <f>IFERROR(__xludf.DUMMYFUNCTION("""COMPUTED_VALUE"""),"T013")</f>
        <v>T013</v>
      </c>
      <c r="G6" s="12" t="str">
        <f>IFERROR(__xludf.DUMMYFUNCTION("""COMPUTED_VALUE"""),"Blocked")</f>
        <v>Blocked</v>
      </c>
    </row>
    <row r="7">
      <c r="A7" s="12" t="str">
        <f>IFERROR(__xludf.DUMMYFUNCTION("""COMPUTED_VALUE"""),"T016")</f>
        <v>T016</v>
      </c>
      <c r="B7" s="12" t="str">
        <f>IFERROR(__xludf.DUMMYFUNCTION("""COMPUTED_VALUE"""),"Obtain business sign-off")</f>
        <v>Obtain business sign-off</v>
      </c>
      <c r="C7" s="12" t="str">
        <f>IFERROR(__xludf.DUMMYFUNCTION("""COMPUTED_VALUE"""),"Project Manager")</f>
        <v>Project Manager</v>
      </c>
      <c r="D7" s="12" t="str">
        <f>IFERROR(__xludf.DUMMYFUNCTION("""COMPUTED_VALUE"""),"Critical")</f>
        <v>Critical</v>
      </c>
      <c r="E7" s="16">
        <f>IFERROR(__xludf.DUMMYFUNCTION("""COMPUTED_VALUE"""),46374.0)</f>
        <v>46374</v>
      </c>
      <c r="F7" s="12" t="str">
        <f>IFERROR(__xludf.DUMMYFUNCTION("""COMPUTED_VALUE"""),"T014")</f>
        <v>T014</v>
      </c>
      <c r="G7" s="12" t="str">
        <f>IFERROR(__xludf.DUMMYFUNCTION("""COMPUTED_VALUE"""),"Blocked")</f>
        <v>Blocked</v>
      </c>
    </row>
  </sheetData>
  <drawing r:id="rId1"/>
</worksheet>
</file>